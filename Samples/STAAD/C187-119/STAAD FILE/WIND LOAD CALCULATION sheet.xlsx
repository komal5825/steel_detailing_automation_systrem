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Desktop\AKHIL\C187-119\"/>
    </mc:Choice>
  </mc:AlternateContent>
  <xr:revisionPtr revIDLastSave="0" documentId="13_ncr:1_{397CA4E1-413A-4088-91C8-72BD320EB3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IND LOAD CALCULATION" sheetId="1" r:id="rId1"/>
  </sheets>
  <definedNames>
    <definedName name="_xlnm.Print_Area" localSheetId="0">'WIND LOAD CALCULATION'!$A$1:$H$57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1" l="1"/>
  <c r="B56" i="1"/>
  <c r="B55" i="1"/>
  <c r="B52" i="1"/>
  <c r="C49" i="1"/>
  <c r="D49" i="1" s="1"/>
  <c r="C48" i="1"/>
  <c r="D48" i="1" s="1"/>
  <c r="C47" i="1"/>
  <c r="D47" i="1" s="1"/>
  <c r="D46" i="1"/>
  <c r="C46" i="1"/>
  <c r="C45" i="1"/>
  <c r="D45" i="1" s="1"/>
  <c r="C44" i="1"/>
  <c r="D44" i="1" s="1"/>
  <c r="B41" i="1"/>
  <c r="B40" i="1"/>
  <c r="B39" i="1"/>
  <c r="B37" i="1"/>
  <c r="B36" i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B19" i="1"/>
  <c r="C19" i="1" s="1"/>
  <c r="B18" i="1"/>
  <c r="C18" i="1" s="1"/>
  <c r="Q13" i="1"/>
  <c r="R13" i="1" s="1"/>
  <c r="S13" i="1" s="1"/>
  <c r="F12" i="1"/>
  <c r="E16" i="1" s="1"/>
  <c r="E12" i="1"/>
  <c r="E11" i="1"/>
  <c r="G5" i="1"/>
  <c r="C56" i="1" s="1"/>
  <c r="D56" i="1" s="1"/>
  <c r="F44" i="1" l="1"/>
  <c r="F46" i="1"/>
  <c r="F48" i="1"/>
  <c r="F45" i="1"/>
  <c r="F47" i="1"/>
  <c r="F49" i="1"/>
  <c r="F56" i="1"/>
  <c r="E56" i="1"/>
  <c r="F30" i="1"/>
  <c r="E30" i="1"/>
  <c r="F31" i="1"/>
  <c r="E31" i="1"/>
  <c r="F28" i="1"/>
  <c r="E28" i="1"/>
  <c r="F32" i="1"/>
  <c r="E32" i="1"/>
  <c r="F29" i="1"/>
  <c r="E29" i="1"/>
  <c r="F33" i="1"/>
  <c r="E33" i="1"/>
  <c r="C39" i="1"/>
  <c r="D39" i="1" s="1"/>
  <c r="E44" i="1"/>
  <c r="E45" i="1"/>
  <c r="E46" i="1"/>
  <c r="E47" i="1"/>
  <c r="E48" i="1"/>
  <c r="E49" i="1"/>
  <c r="C53" i="1"/>
  <c r="D53" i="1" s="1"/>
  <c r="C57" i="1"/>
  <c r="D57" i="1" s="1"/>
  <c r="T13" i="1"/>
  <c r="U13" i="1" s="1"/>
  <c r="C36" i="1"/>
  <c r="D36" i="1" s="1"/>
  <c r="C40" i="1"/>
  <c r="D40" i="1" s="1"/>
  <c r="C54" i="1"/>
  <c r="D54" i="1" s="1"/>
  <c r="C37" i="1"/>
  <c r="D37" i="1" s="1"/>
  <c r="C41" i="1"/>
  <c r="D41" i="1" s="1"/>
  <c r="C55" i="1"/>
  <c r="D55" i="1" s="1"/>
  <c r="C38" i="1"/>
  <c r="D38" i="1" s="1"/>
  <c r="C52" i="1"/>
  <c r="D52" i="1" s="1"/>
  <c r="E36" i="1" l="1"/>
  <c r="F36" i="1"/>
  <c r="E54" i="1"/>
  <c r="F54" i="1"/>
  <c r="F57" i="1"/>
  <c r="E57" i="1"/>
  <c r="F39" i="1"/>
  <c r="E39" i="1"/>
  <c r="F37" i="1"/>
  <c r="E37" i="1"/>
  <c r="F38" i="1"/>
  <c r="E38" i="1"/>
  <c r="E40" i="1"/>
  <c r="F40" i="1"/>
  <c r="F41" i="1"/>
  <c r="E41" i="1"/>
  <c r="F53" i="1"/>
  <c r="E53" i="1"/>
  <c r="F52" i="1"/>
  <c r="E52" i="1"/>
  <c r="F55" i="1"/>
  <c r="E55" i="1"/>
</calcChain>
</file>

<file path=xl/sharedStrings.xml><?xml version="1.0" encoding="utf-8"?>
<sst xmlns="http://schemas.openxmlformats.org/spreadsheetml/2006/main" count="185" uniqueCount="71">
  <si>
    <t xml:space="preserve">  WIND LOAD CALCULATION SHEET</t>
  </si>
  <si>
    <t>LENGTH (L)</t>
  </si>
  <si>
    <t>=</t>
  </si>
  <si>
    <t>m</t>
  </si>
  <si>
    <t>Basic Wind speed,Vb=</t>
  </si>
  <si>
    <t>m/s</t>
  </si>
  <si>
    <t>WIDTH(W)</t>
  </si>
  <si>
    <t>Terrian Category =</t>
  </si>
  <si>
    <t>HEIGHT(H)</t>
  </si>
  <si>
    <t>Bay Spacing(sidewall) =</t>
  </si>
  <si>
    <t>End =</t>
  </si>
  <si>
    <t>SLOPE =</t>
  </si>
  <si>
    <t>Enclosed Condition</t>
  </si>
  <si>
    <t>Calculation for wind pressure :</t>
  </si>
  <si>
    <t>Terrian Category</t>
  </si>
  <si>
    <t>k1 =</t>
  </si>
  <si>
    <t>General building, As per Table-1 of IS-875-Part-3</t>
  </si>
  <si>
    <t>Height</t>
  </si>
  <si>
    <t>k2 =</t>
  </si>
  <si>
    <t xml:space="preserve">For Terrian category 2 as per Table 2, Clause: 6.3.2.1-b </t>
  </si>
  <si>
    <t>k3 =</t>
  </si>
  <si>
    <t>Upwind slope is less than 3 degree</t>
  </si>
  <si>
    <t>k4 =</t>
  </si>
  <si>
    <t>for Non Cyclonic Region</t>
  </si>
  <si>
    <t>Vz =</t>
  </si>
  <si>
    <t>k1xk2xK3xK4XVb =</t>
  </si>
  <si>
    <t>wind pressure Pz = 0.6Vz^2 =</t>
  </si>
  <si>
    <t>kN/m2</t>
  </si>
  <si>
    <t>Kd =</t>
  </si>
  <si>
    <t>(Directionality factor)</t>
  </si>
  <si>
    <t>Ka =</t>
  </si>
  <si>
    <t>(Area Averaging factor)</t>
  </si>
  <si>
    <t>Kc =</t>
  </si>
  <si>
    <t>(Combination factor for pressure &amp; Suction)</t>
  </si>
  <si>
    <t>Design wind pressure Pd(not be taken less than 0.7Pz)
KdxKaxKcxPz =</t>
  </si>
  <si>
    <t>H/W =</t>
  </si>
  <si>
    <t>L/W =</t>
  </si>
  <si>
    <r>
      <rPr>
        <b/>
        <sz val="9"/>
        <color rgb="FF953735"/>
        <rFont val="Times New Roman"/>
        <charset val="134"/>
      </rPr>
      <t>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0.5</t>
    </r>
  </si>
  <si>
    <r>
      <rPr>
        <b/>
        <sz val="9"/>
        <color rgb="FF953735"/>
        <rFont val="Times New Roman"/>
        <charset val="134"/>
      </rPr>
      <t xml:space="preserve"> 0.5&lt;h/w</t>
    </r>
    <r>
      <rPr>
        <b/>
        <sz val="9"/>
        <color rgb="FF953735"/>
        <rFont val="Calibri"/>
        <charset val="134"/>
      </rPr>
      <t>≤</t>
    </r>
    <r>
      <rPr>
        <b/>
        <sz val="9"/>
        <color rgb="FF953735"/>
        <rFont val="Times New Roman"/>
        <charset val="134"/>
      </rPr>
      <t>1.5</t>
    </r>
  </si>
  <si>
    <t>Wind load on frame</t>
  </si>
  <si>
    <t xml:space="preserve">CASE-1- WIND ACROSS THE RIDGE(ZERO DEGREE) Positive Cpi </t>
  </si>
  <si>
    <t xml:space="preserve"> 1.5&lt;h/w&lt;6</t>
  </si>
  <si>
    <t>SURFACE</t>
  </si>
  <si>
    <t>Cpe</t>
  </si>
  <si>
    <t>Cpi</t>
  </si>
  <si>
    <t>Cp=(Cpe-Cpi)</t>
  </si>
  <si>
    <t>A</t>
  </si>
  <si>
    <t>EF</t>
  </si>
  <si>
    <r>
      <rPr>
        <sz val="9"/>
        <color rgb="FFC00000"/>
        <rFont val="Times New Roman"/>
        <charset val="134"/>
      </rPr>
      <t xml:space="preserve"> 1&lt;l/w</t>
    </r>
    <r>
      <rPr>
        <sz val="9"/>
        <color rgb="FFC00000"/>
        <rFont val="Calibri"/>
        <charset val="134"/>
      </rPr>
      <t>≤</t>
    </r>
    <r>
      <rPr>
        <sz val="9"/>
        <color rgb="FFC00000"/>
        <rFont val="Times New Roman"/>
        <charset val="134"/>
      </rPr>
      <t>1.5</t>
    </r>
  </si>
  <si>
    <t>GH</t>
  </si>
  <si>
    <r>
      <rPr>
        <sz val="9"/>
        <color rgb="FFC00000"/>
        <rFont val="Times New Roman"/>
        <charset val="134"/>
      </rPr>
      <t xml:space="preserve"> 1.5&lt;l/w</t>
    </r>
    <r>
      <rPr>
        <sz val="9"/>
        <color rgb="FFC00000"/>
        <rFont val="Calibri"/>
        <charset val="134"/>
      </rPr>
      <t>≤4</t>
    </r>
  </si>
  <si>
    <t>B</t>
  </si>
  <si>
    <r>
      <rPr>
        <sz val="9"/>
        <color rgb="FFC00000"/>
        <rFont val="Times New Roman"/>
        <charset val="134"/>
      </rPr>
      <t xml:space="preserve"> l/w</t>
    </r>
    <r>
      <rPr>
        <sz val="9"/>
        <color rgb="FFC00000"/>
        <rFont val="Calibri"/>
        <charset val="134"/>
      </rPr>
      <t>&gt;4</t>
    </r>
  </si>
  <si>
    <t>C</t>
  </si>
  <si>
    <t>D</t>
  </si>
  <si>
    <t xml:space="preserve">CASE-2- WIND ACROSS THE RIDGE(ZERO DEGREE) Negative Cpi </t>
  </si>
  <si>
    <t>Cpe-Cpi</t>
  </si>
  <si>
    <t>TRANSVERSE WIND</t>
  </si>
  <si>
    <t>LONGITUDINAL WIND</t>
  </si>
  <si>
    <t xml:space="preserve">C </t>
  </si>
  <si>
    <t>Length</t>
  </si>
  <si>
    <t>CASE-3- WIND PARALLEL TO RIDGE(90 DEGREE) WITH Posative Cpi</t>
  </si>
  <si>
    <t>Windward</t>
  </si>
  <si>
    <t xml:space="preserve"> h/w≤0.5</t>
  </si>
  <si>
    <r>
      <rPr>
        <sz val="11"/>
        <rFont val="Times New Roman"/>
        <charset val="134"/>
      </rPr>
      <t xml:space="preserve"> 1&lt;l/w</t>
    </r>
    <r>
      <rPr>
        <sz val="11"/>
        <rFont val="Calibri"/>
        <charset val="134"/>
      </rPr>
      <t>≤</t>
    </r>
    <r>
      <rPr>
        <sz val="11"/>
        <rFont val="Times New Roman"/>
        <charset val="134"/>
      </rPr>
      <t>1.5</t>
    </r>
  </si>
  <si>
    <r>
      <rPr>
        <sz val="11"/>
        <rFont val="Times New Roman"/>
        <charset val="134"/>
      </rPr>
      <t xml:space="preserve"> 1.5&lt;l/w</t>
    </r>
    <r>
      <rPr>
        <sz val="11"/>
        <rFont val="Calibri"/>
        <charset val="134"/>
      </rPr>
      <t>≤4</t>
    </r>
  </si>
  <si>
    <t>EG</t>
  </si>
  <si>
    <r>
      <rPr>
        <sz val="12"/>
        <rFont val="Times New Roman"/>
        <charset val="134"/>
      </rPr>
      <t xml:space="preserve"> l/w</t>
    </r>
    <r>
      <rPr>
        <sz val="12"/>
        <rFont val="Calibri"/>
        <charset val="134"/>
      </rPr>
      <t>&gt;4</t>
    </r>
  </si>
  <si>
    <t xml:space="preserve"> 0.5&lt;h/w≤1.5</t>
  </si>
  <si>
    <t>CASE-4- WIND PARALLEL TO RIDGE(90 DEGREE) WITH Negative Cpi</t>
  </si>
  <si>
    <t>Leeward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</si>
</sst>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19"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sz val="14"/>
      <color rgb="FF000000"/>
      <name val="Calibri"/>
      <charset val="134"/>
    </font>
    <font>
      <b/>
      <sz val="9"/>
      <color rgb="FF953735"/>
      <name val="Times New Roman"/>
      <charset val="134"/>
    </font>
    <font>
      <b/>
      <sz val="9"/>
      <color rgb="FF953735"/>
      <name val="Calibri"/>
      <charset val="134"/>
    </font>
    <font>
      <b/>
      <sz val="14"/>
      <color rgb="FF000000"/>
      <name val="Calibri"/>
      <charset val="134"/>
    </font>
    <font>
      <sz val="9"/>
      <color rgb="FFC00000"/>
      <name val="Times New Roman"/>
      <charset val="134"/>
    </font>
    <font>
      <sz val="9"/>
      <color rgb="FFC00000"/>
      <name val="Calibri"/>
      <charset val="134"/>
    </font>
    <font>
      <sz val="12"/>
      <color rgb="FF000000"/>
      <name val="Calibri"/>
      <charset val="134"/>
    </font>
    <font>
      <b/>
      <u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0"/>
      <color rgb="FF000000"/>
      <name val="Calibri"/>
      <charset val="134"/>
    </font>
    <font>
      <sz val="11"/>
      <name val="Times New Roman"/>
      <charset val="134"/>
    </font>
    <font>
      <sz val="11"/>
      <name val="Calibri"/>
      <charset val="134"/>
    </font>
    <font>
      <sz val="12"/>
      <name val="Times New Roman"/>
      <charset val="134"/>
    </font>
    <font>
      <sz val="12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AC090"/>
      </patternFill>
    </fill>
    <fill>
      <patternFill patternType="solid">
        <fgColor rgb="FF00B050"/>
        <bgColor rgb="FF008080"/>
      </patternFill>
    </fill>
    <fill>
      <patternFill patternType="solid">
        <fgColor rgb="FFFAC090"/>
        <bgColor rgb="FFFCD5B5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FF0000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3" borderId="3" xfId="0" applyFill="1" applyBorder="1"/>
    <xf numFmtId="0" fontId="0" fillId="0" borderId="3" xfId="0" applyBorder="1"/>
    <xf numFmtId="0" fontId="0" fillId="3" borderId="3" xfId="0" applyFill="1" applyBorder="1" applyAlignment="1">
      <alignment horizontal="center"/>
    </xf>
    <xf numFmtId="0" fontId="0" fillId="0" borderId="4" xfId="0" applyBorder="1"/>
    <xf numFmtId="2" fontId="0" fillId="0" borderId="0" xfId="0" applyNumberFormat="1"/>
    <xf numFmtId="164" fontId="0" fillId="3" borderId="3" xfId="0" applyNumberForma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166" fontId="0" fillId="0" borderId="3" xfId="0" applyNumberFormat="1" applyBorder="1"/>
    <xf numFmtId="2" fontId="0" fillId="5" borderId="3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0" xfId="0" applyNumberFormat="1"/>
    <xf numFmtId="165" fontId="2" fillId="0" borderId="9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8" xfId="0" applyFill="1" applyBorder="1"/>
    <xf numFmtId="2" fontId="1" fillId="5" borderId="3" xfId="0" applyNumberFormat="1" applyFont="1" applyFill="1" applyBorder="1" applyAlignment="1">
      <alignment vertical="center"/>
    </xf>
    <xf numFmtId="0" fontId="0" fillId="0" borderId="14" xfId="0" applyBorder="1"/>
    <xf numFmtId="0" fontId="0" fillId="0" borderId="9" xfId="0" applyBorder="1"/>
    <xf numFmtId="0" fontId="0" fillId="0" borderId="14" xfId="0" applyBorder="1" applyAlignment="1">
      <alignment horizontal="right"/>
    </xf>
    <xf numFmtId="2" fontId="0" fillId="0" borderId="0" xfId="0" applyNumberFormat="1" applyAlignment="1">
      <alignment horizontal="left"/>
    </xf>
    <xf numFmtId="0" fontId="5" fillId="0" borderId="0" xfId="0" applyFont="1" applyProtection="1">
      <protection hidden="1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Protection="1">
      <protection hidden="1"/>
    </xf>
    <xf numFmtId="0" fontId="0" fillId="0" borderId="3" xfId="0" applyBorder="1" applyAlignment="1">
      <alignment horizontal="right"/>
    </xf>
    <xf numFmtId="2" fontId="2" fillId="5" borderId="3" xfId="0" applyNumberFormat="1" applyFont="1" applyFill="1" applyBorder="1" applyAlignment="1">
      <alignment horizontal="left"/>
    </xf>
    <xf numFmtId="2" fontId="2" fillId="0" borderId="9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center"/>
    </xf>
    <xf numFmtId="0" fontId="8" fillId="0" borderId="0" xfId="0" applyFont="1" applyProtection="1">
      <protection hidden="1"/>
    </xf>
    <xf numFmtId="0" fontId="10" fillId="0" borderId="3" xfId="0" applyFont="1" applyBorder="1"/>
    <xf numFmtId="0" fontId="10" fillId="0" borderId="0" xfId="0" applyFont="1"/>
    <xf numFmtId="0" fontId="10" fillId="0" borderId="9" xfId="0" applyFont="1" applyBorder="1"/>
    <xf numFmtId="0" fontId="10" fillId="0" borderId="0" xfId="0" applyFont="1" applyAlignment="1">
      <alignment horizontal="center"/>
    </xf>
    <xf numFmtId="164" fontId="0" fillId="0" borderId="3" xfId="0" applyNumberForma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11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3" fillId="0" borderId="15" xfId="0" applyFont="1" applyBorder="1" applyAlignment="1" applyProtection="1">
      <alignment horizontal="center" wrapText="1"/>
      <protection hidden="1"/>
    </xf>
    <xf numFmtId="0" fontId="14" fillId="0" borderId="2" xfId="0" applyFont="1" applyBorder="1"/>
    <xf numFmtId="0" fontId="13" fillId="0" borderId="0" xfId="0" applyFont="1" applyAlignment="1" applyProtection="1">
      <alignment horizontal="center" wrapText="1"/>
      <protection hidden="1"/>
    </xf>
    <xf numFmtId="0" fontId="15" fillId="0" borderId="18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0" xfId="0" applyFont="1" applyAlignment="1" applyProtection="1">
      <alignment horizontal="center" vertical="top" wrapText="1"/>
      <protection hidden="1"/>
    </xf>
    <xf numFmtId="0" fontId="17" fillId="0" borderId="18" xfId="0" applyFont="1" applyBorder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right"/>
    </xf>
    <xf numFmtId="2" fontId="2" fillId="5" borderId="21" xfId="0" applyNumberFormat="1" applyFont="1" applyFill="1" applyBorder="1" applyAlignment="1">
      <alignment horizontal="left"/>
    </xf>
    <xf numFmtId="0" fontId="15" fillId="0" borderId="15" xfId="0" applyFont="1" applyBorder="1" applyAlignment="1" applyProtection="1">
      <alignment horizontal="center"/>
      <protection hidden="1"/>
    </xf>
    <xf numFmtId="0" fontId="0" fillId="0" borderId="22" xfId="0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right"/>
    </xf>
    <xf numFmtId="2" fontId="2" fillId="5" borderId="25" xfId="0" applyNumberFormat="1" applyFont="1" applyFill="1" applyBorder="1" applyAlignment="1">
      <alignment horizontal="left"/>
    </xf>
    <xf numFmtId="0" fontId="0" fillId="0" borderId="26" xfId="0" applyBorder="1"/>
    <xf numFmtId="0" fontId="0" fillId="0" borderId="27" xfId="0" applyBorder="1"/>
    <xf numFmtId="2" fontId="0" fillId="0" borderId="0" xfId="0" applyNumberFormat="1" applyAlignment="1">
      <alignment horizontal="center"/>
    </xf>
    <xf numFmtId="0" fontId="17" fillId="0" borderId="15" xfId="0" applyFont="1" applyBorder="1" applyAlignment="1" applyProtection="1">
      <alignment horizontal="center"/>
      <protection hidden="1"/>
    </xf>
    <xf numFmtId="0" fontId="0" fillId="6" borderId="0" xfId="0" applyFill="1"/>
    <xf numFmtId="0" fontId="0" fillId="6" borderId="0" xfId="0" applyFill="1" applyAlignment="1">
      <alignment horizontal="right"/>
    </xf>
    <xf numFmtId="0" fontId="13" fillId="0" borderId="28" xfId="0" applyFont="1" applyBorder="1" applyAlignment="1" applyProtection="1">
      <alignment horizontal="center" vertical="top" wrapText="1"/>
      <protection hidden="1"/>
    </xf>
    <xf numFmtId="0" fontId="15" fillId="0" borderId="28" xfId="0" applyFont="1" applyBorder="1" applyAlignment="1" applyProtection="1">
      <alignment horizontal="center"/>
      <protection hidden="1"/>
    </xf>
    <xf numFmtId="0" fontId="17" fillId="0" borderId="28" xfId="0" applyFont="1" applyBorder="1" applyAlignment="1" applyProtection="1">
      <alignment horizontal="center"/>
      <protection hidden="1"/>
    </xf>
    <xf numFmtId="0" fontId="12" fillId="0" borderId="28" xfId="0" applyFont="1" applyBorder="1" applyProtection="1">
      <protection hidden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2" fontId="0" fillId="5" borderId="4" xfId="0" applyNumberFormat="1" applyFill="1" applyBorder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center"/>
    </xf>
    <xf numFmtId="0" fontId="7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15" xfId="0" applyFont="1" applyBorder="1" applyAlignment="1" applyProtection="1">
      <alignment horizontal="center" wrapText="1"/>
      <protection hidden="1"/>
    </xf>
    <xf numFmtId="0" fontId="13" fillId="0" borderId="16" xfId="0" applyFont="1" applyBorder="1" applyAlignment="1" applyProtection="1">
      <alignment horizontal="center" wrapText="1"/>
      <protection hidden="1"/>
    </xf>
    <xf numFmtId="0" fontId="13" fillId="0" borderId="17" xfId="0" applyFont="1" applyBorder="1" applyAlignment="1" applyProtection="1">
      <alignment horizontal="center" wrapText="1"/>
      <protection hidden="1"/>
    </xf>
    <xf numFmtId="0" fontId="0" fillId="0" borderId="9" xfId="0" applyBorder="1" applyAlignment="1">
      <alignment horizontal="center"/>
    </xf>
    <xf numFmtId="0" fontId="13" fillId="0" borderId="18" xfId="0" applyFont="1" applyBorder="1" applyAlignment="1" applyProtection="1">
      <alignment horizontal="center" vertical="top" wrapText="1"/>
      <protection hidden="1"/>
    </xf>
    <xf numFmtId="0" fontId="13" fillId="0" borderId="15" xfId="0" applyFont="1" applyBorder="1" applyAlignment="1" applyProtection="1">
      <alignment horizontal="center" vertical="top" wrapText="1"/>
      <protection hidden="1"/>
    </xf>
    <xf numFmtId="0" fontId="13" fillId="0" borderId="19" xfId="0" applyFont="1" applyBorder="1" applyAlignment="1" applyProtection="1">
      <alignment horizontal="center" wrapText="1"/>
      <protection hidden="1"/>
    </xf>
    <xf numFmtId="0" fontId="13" fillId="0" borderId="28" xfId="0" applyFont="1" applyBorder="1" applyAlignment="1" applyProtection="1">
      <alignment horizontal="center" vertical="top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CD5B5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760680</xdr:colOff>
      <xdr:row>16</xdr:row>
      <xdr:rowOff>26280</xdr:rowOff>
    </xdr:from>
    <xdr:to>
      <xdr:col>7</xdr:col>
      <xdr:colOff>103320</xdr:colOff>
      <xdr:row>23</xdr:row>
      <xdr:rowOff>146880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173040" y="3430440"/>
          <a:ext cx="2587320" cy="145404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704880</xdr:colOff>
      <xdr:row>17</xdr:row>
      <xdr:rowOff>57240</xdr:rowOff>
    </xdr:from>
    <xdr:to>
      <xdr:col>2</xdr:col>
      <xdr:colOff>63720</xdr:colOff>
      <xdr:row>17</xdr:row>
      <xdr:rowOff>130320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51520" y="3651840"/>
          <a:ext cx="600120" cy="7308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</xdr:col>
      <xdr:colOff>704880</xdr:colOff>
      <xdr:row>18</xdr:row>
      <xdr:rowOff>66960</xdr:rowOff>
    </xdr:from>
    <xdr:to>
      <xdr:col>2</xdr:col>
      <xdr:colOff>63720</xdr:colOff>
      <xdr:row>18</xdr:row>
      <xdr:rowOff>140040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451520" y="3852000"/>
          <a:ext cx="600120" cy="7308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0">
          <a:solidFill>
            <a:srgbClr val="3A5F8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"/>
  <sheetViews>
    <sheetView tabSelected="1" view="pageBreakPreview" topLeftCell="A19" zoomScale="175" zoomScaleNormal="100" zoomScaleSheetLayoutView="175" zoomScalePageLayoutView="150" workbookViewId="0">
      <selection activeCell="B55" sqref="B55"/>
    </sheetView>
  </sheetViews>
  <sheetFormatPr defaultColWidth="9.109375" defaultRowHeight="14.4"/>
  <cols>
    <col min="1" max="1" width="10.5546875" customWidth="1"/>
    <col min="2" max="2" width="17.5546875" customWidth="1"/>
    <col min="3" max="3" width="6" customWidth="1"/>
    <col min="4" max="4" width="12.6640625" customWidth="1"/>
    <col min="5" max="5" width="20.6640625" customWidth="1"/>
    <col min="6" max="6" width="6.88671875" customWidth="1"/>
    <col min="7" max="7" width="5.6640625" customWidth="1"/>
    <col min="8" max="8" width="5" customWidth="1"/>
    <col min="9" max="9" width="19.109375" customWidth="1"/>
    <col min="10" max="10" width="6.6640625" style="1" customWidth="1"/>
    <col min="11" max="11" width="8.44140625" customWidth="1"/>
    <col min="12" max="12" width="5.109375" customWidth="1"/>
    <col min="13" max="14" width="4.5546875" customWidth="1"/>
    <col min="16" max="27" width="9" hidden="1" customWidth="1"/>
  </cols>
  <sheetData>
    <row r="1" spans="1:21" ht="23.4">
      <c r="A1" s="84" t="s">
        <v>0</v>
      </c>
      <c r="B1" s="84"/>
      <c r="C1" s="84"/>
      <c r="D1" s="84"/>
      <c r="E1" s="84"/>
      <c r="F1" s="84"/>
      <c r="G1" s="84"/>
      <c r="H1" s="84"/>
      <c r="I1" s="2"/>
      <c r="J1" s="3"/>
      <c r="K1" s="85"/>
      <c r="L1" s="85"/>
      <c r="M1" s="85"/>
      <c r="N1" s="85"/>
    </row>
    <row r="2" spans="1:21">
      <c r="A2" s="4" t="s">
        <v>1</v>
      </c>
      <c r="B2" s="5" t="s">
        <v>2</v>
      </c>
      <c r="C2" s="6">
        <v>14.7</v>
      </c>
      <c r="D2" s="7" t="s">
        <v>3</v>
      </c>
      <c r="E2" s="7" t="s">
        <v>4</v>
      </c>
      <c r="F2" s="8">
        <v>44</v>
      </c>
      <c r="G2" s="7" t="s">
        <v>5</v>
      </c>
      <c r="H2" s="9"/>
    </row>
    <row r="3" spans="1:21">
      <c r="A3" s="4" t="s">
        <v>6</v>
      </c>
      <c r="B3" s="5" t="s">
        <v>2</v>
      </c>
      <c r="C3" s="6">
        <v>10.47</v>
      </c>
      <c r="D3" s="7" t="s">
        <v>3</v>
      </c>
      <c r="E3" s="7" t="s">
        <v>7</v>
      </c>
      <c r="F3" s="8">
        <v>2</v>
      </c>
      <c r="G3" s="7"/>
      <c r="H3" s="9"/>
      <c r="K3" s="10"/>
      <c r="L3" s="10"/>
      <c r="M3" s="10"/>
      <c r="N3" s="10"/>
    </row>
    <row r="4" spans="1:21">
      <c r="A4" s="4" t="s">
        <v>8</v>
      </c>
      <c r="B4" s="5" t="s">
        <v>2</v>
      </c>
      <c r="C4" s="6">
        <v>9.8000000000000007</v>
      </c>
      <c r="D4" s="7" t="s">
        <v>3</v>
      </c>
      <c r="E4" s="7" t="s">
        <v>9</v>
      </c>
      <c r="F4" s="11">
        <v>3.5</v>
      </c>
      <c r="G4" s="7" t="s">
        <v>10</v>
      </c>
      <c r="H4" s="12">
        <v>10.47</v>
      </c>
      <c r="K4" s="10"/>
      <c r="L4" s="10"/>
      <c r="M4" s="10"/>
      <c r="N4" s="10"/>
    </row>
    <row r="5" spans="1:21">
      <c r="A5" s="4" t="s">
        <v>11</v>
      </c>
      <c r="B5" s="5">
        <v>10</v>
      </c>
      <c r="C5" s="13">
        <v>100</v>
      </c>
      <c r="D5" s="7"/>
      <c r="E5" s="7" t="s">
        <v>12</v>
      </c>
      <c r="F5" s="14">
        <v>0.2</v>
      </c>
      <c r="G5" s="15">
        <f>(-(F5))</f>
        <v>-0.2</v>
      </c>
      <c r="H5" s="9"/>
      <c r="K5" s="10"/>
      <c r="L5" s="10"/>
      <c r="M5" s="10"/>
      <c r="N5" s="10"/>
    </row>
    <row r="6" spans="1:21" ht="23.4">
      <c r="A6" s="86" t="s">
        <v>13</v>
      </c>
      <c r="B6" s="86"/>
      <c r="C6" s="86"/>
      <c r="D6" s="86"/>
      <c r="E6" s="86"/>
      <c r="F6" s="86"/>
      <c r="G6" s="86"/>
      <c r="H6" s="86"/>
      <c r="K6" s="10"/>
      <c r="L6" s="10"/>
      <c r="M6" s="10"/>
      <c r="N6" s="10"/>
      <c r="Q6" s="16"/>
      <c r="R6" s="87" t="s">
        <v>14</v>
      </c>
      <c r="S6" s="87"/>
      <c r="T6" s="87"/>
      <c r="U6" s="87"/>
    </row>
    <row r="7" spans="1:21">
      <c r="A7" s="17" t="s">
        <v>15</v>
      </c>
      <c r="B7" s="18">
        <v>1</v>
      </c>
      <c r="C7" s="88" t="s">
        <v>16</v>
      </c>
      <c r="D7" s="88"/>
      <c r="E7" s="88"/>
      <c r="F7" s="88"/>
      <c r="G7" s="88"/>
      <c r="H7" s="88"/>
      <c r="Q7" s="5" t="s">
        <v>17</v>
      </c>
      <c r="R7" s="5">
        <v>1</v>
      </c>
      <c r="S7" s="5">
        <v>2</v>
      </c>
      <c r="T7" s="5">
        <v>3</v>
      </c>
      <c r="U7" s="5">
        <v>4</v>
      </c>
    </row>
    <row r="8" spans="1:21">
      <c r="A8" s="17" t="s">
        <v>18</v>
      </c>
      <c r="B8" s="19">
        <v>0.91</v>
      </c>
      <c r="C8" s="88" t="s">
        <v>19</v>
      </c>
      <c r="D8" s="88"/>
      <c r="E8" s="88"/>
      <c r="F8" s="88"/>
      <c r="G8" s="88"/>
      <c r="H8" s="88"/>
      <c r="Q8" s="5">
        <v>10</v>
      </c>
      <c r="R8" s="20">
        <v>1.05</v>
      </c>
      <c r="S8" s="20">
        <v>1</v>
      </c>
      <c r="T8" s="20">
        <v>0.91</v>
      </c>
      <c r="U8" s="20">
        <v>0.8</v>
      </c>
    </row>
    <row r="9" spans="1:21">
      <c r="A9" s="17" t="s">
        <v>20</v>
      </c>
      <c r="B9" s="18">
        <v>1</v>
      </c>
      <c r="C9" s="88" t="s">
        <v>21</v>
      </c>
      <c r="D9" s="88"/>
      <c r="E9" s="88"/>
      <c r="F9" s="88"/>
      <c r="G9" s="88"/>
      <c r="H9" s="88"/>
      <c r="Q9" s="5">
        <v>15</v>
      </c>
      <c r="R9" s="20">
        <v>1.0900000000000001</v>
      </c>
      <c r="S9" s="20">
        <v>1.05</v>
      </c>
      <c r="T9" s="20">
        <v>0.97</v>
      </c>
      <c r="U9" s="20">
        <v>0.8</v>
      </c>
    </row>
    <row r="10" spans="1:21">
      <c r="A10" s="17" t="s">
        <v>22</v>
      </c>
      <c r="B10" s="18">
        <v>1</v>
      </c>
      <c r="C10" s="89" t="s">
        <v>23</v>
      </c>
      <c r="D10" s="89"/>
      <c r="E10" s="89"/>
      <c r="F10" s="89"/>
      <c r="G10" s="89"/>
      <c r="H10" s="89"/>
      <c r="Q10" s="5">
        <v>20</v>
      </c>
      <c r="R10" s="20">
        <v>1.1200000000000001</v>
      </c>
      <c r="S10" s="20">
        <v>1.07</v>
      </c>
      <c r="T10" s="20">
        <v>1.01</v>
      </c>
      <c r="U10" s="20">
        <v>0.8</v>
      </c>
    </row>
    <row r="11" spans="1:21">
      <c r="A11" s="21" t="s">
        <v>24</v>
      </c>
      <c r="B11" s="22" t="s">
        <v>25</v>
      </c>
      <c r="C11" s="22"/>
      <c r="D11" s="22"/>
      <c r="E11" s="89" t="str">
        <f>CONCATENATE(B7*B8*B9*B10*F2,"  m/s",)</f>
        <v>40.04  m/s</v>
      </c>
      <c r="F11" s="89"/>
      <c r="G11" s="89"/>
      <c r="H11" s="89"/>
      <c r="Q11" s="5">
        <v>30</v>
      </c>
      <c r="R11" s="20">
        <v>1.1499999999999999</v>
      </c>
      <c r="S11" s="20">
        <v>1.1200000000000001</v>
      </c>
      <c r="T11" s="20">
        <v>1.06</v>
      </c>
      <c r="U11" s="20">
        <v>0.97</v>
      </c>
    </row>
    <row r="12" spans="1:21">
      <c r="A12" s="90" t="s">
        <v>26</v>
      </c>
      <c r="B12" s="90"/>
      <c r="C12" s="90"/>
      <c r="D12" s="90"/>
      <c r="E12" s="23" t="str">
        <f>CONCATENATE(ROUNDUP(0.6*B7*B8*B9*B10*F2*B7*B8*B9*B10*F2,2)," N/m2"," =",)</f>
        <v>961.93 N/m2 =</v>
      </c>
      <c r="F12" s="24">
        <f>0.6*B7*B8*B9*B10*F2*B7*B8*B9*B10*F2/1000</f>
        <v>0.96192096000000005</v>
      </c>
      <c r="G12" s="91" t="s">
        <v>27</v>
      </c>
      <c r="H12" s="91"/>
      <c r="Q12" s="25">
        <v>50</v>
      </c>
      <c r="R12" s="26">
        <v>1.2</v>
      </c>
      <c r="S12" s="26">
        <v>1.17</v>
      </c>
      <c r="T12" s="26">
        <v>1.1200000000000001</v>
      </c>
      <c r="U12" s="26">
        <v>1.1000000000000001</v>
      </c>
    </row>
    <row r="13" spans="1:21">
      <c r="A13" s="17" t="s">
        <v>28</v>
      </c>
      <c r="B13" s="6">
        <v>0.9</v>
      </c>
      <c r="C13" t="s">
        <v>29</v>
      </c>
      <c r="E13" s="27"/>
      <c r="H13" s="28"/>
      <c r="Q13" s="29">
        <f>C4</f>
        <v>9.8000000000000007</v>
      </c>
      <c r="R13" s="30">
        <f ca="1">IF(Q13&lt;10,R8,FORECAST(Q13,OFFSET(R8:R12,MATCH(Q13,Q8:Q12,1)-1,0,2),OFFSET(Q8:Q12,MATCH(Q13,Q8:Q12,1)-1,0,2)))</f>
        <v>1.05</v>
      </c>
      <c r="S13" s="30">
        <f ca="1">IF(Q13&lt;10,S8,FORECAST(R13,OFFSET(S8:S12,MATCH(R13,R8:R12,1)-1,0,2),OFFSET(R8:R12,MATCH(R13,R8:R12,1)-1,0,2)))</f>
        <v>1</v>
      </c>
      <c r="T13" s="30">
        <f ca="1">IF(Q13&lt;10,T8,FORECAST(S13,OFFSET(T8:T12,MATCH(S13,S8:S12,1)-1,0,2),OFFSET(S8:S12,MATCH(S13,S8:S12,1)-1,0,2)))</f>
        <v>0.91</v>
      </c>
      <c r="U13" s="31">
        <f ca="1">IF(Q13&lt;10,U8,FORECAST(T13,OFFSET(U8:U12,MATCH(T13,T8:T12,1)-1,0,2),OFFSET(T8:T12,MATCH(T13,T8:T12,1)-1,0,2)))</f>
        <v>0.8</v>
      </c>
    </row>
    <row r="14" spans="1:21">
      <c r="A14" s="17" t="s">
        <v>30</v>
      </c>
      <c r="B14" s="6">
        <v>1</v>
      </c>
      <c r="C14" t="s">
        <v>31</v>
      </c>
      <c r="E14" s="27"/>
      <c r="H14" s="28"/>
    </row>
    <row r="15" spans="1:21">
      <c r="A15" s="32" t="s">
        <v>32</v>
      </c>
      <c r="B15" s="33">
        <v>1</v>
      </c>
      <c r="C15" t="s">
        <v>33</v>
      </c>
      <c r="E15" s="27"/>
      <c r="H15" s="28"/>
    </row>
    <row r="16" spans="1:21" ht="27.75" customHeight="1">
      <c r="A16" s="92" t="s">
        <v>34</v>
      </c>
      <c r="B16" s="92"/>
      <c r="C16" s="92"/>
      <c r="D16" s="92"/>
      <c r="E16" s="34">
        <f>ROUNDUP(F12*B13*B14*B15,2)</f>
        <v>0.87</v>
      </c>
      <c r="F16" s="93" t="s">
        <v>27</v>
      </c>
      <c r="G16" s="93"/>
      <c r="H16" s="93"/>
    </row>
    <row r="17" spans="1:21">
      <c r="A17" s="35"/>
      <c r="H17" s="36"/>
    </row>
    <row r="18" spans="1:21">
      <c r="A18" s="37" t="s">
        <v>35</v>
      </c>
      <c r="B18" s="38">
        <f>C4/C3</f>
        <v>0.93600764087870103</v>
      </c>
      <c r="C18" s="85" t="str">
        <f>IF(B18&lt;=0.5,U23,IF(B18&lt;=1.5,U24,U26))</f>
        <v xml:space="preserve"> 0.5&lt;h/w≤1.5</v>
      </c>
      <c r="D18" s="85"/>
      <c r="H18" s="36"/>
    </row>
    <row r="19" spans="1:21">
      <c r="A19" s="37" t="s">
        <v>36</v>
      </c>
      <c r="B19" s="38">
        <f>C2/C3</f>
        <v>1.4040114613180514</v>
      </c>
      <c r="C19" s="85" t="str">
        <f>IF(B19&lt;=1.5,U29,IF(B19&lt;=4,U30,U31))</f>
        <v xml:space="preserve"> 1&lt;l/w≤1.5</v>
      </c>
      <c r="D19" s="85"/>
      <c r="H19" s="36"/>
    </row>
    <row r="20" spans="1:21">
      <c r="A20" s="35"/>
      <c r="H20" s="36"/>
    </row>
    <row r="21" spans="1:21">
      <c r="A21" s="35"/>
      <c r="H21" s="36"/>
    </row>
    <row r="22" spans="1:21">
      <c r="A22" s="35"/>
      <c r="H22" s="36"/>
    </row>
    <row r="23" spans="1:21">
      <c r="A23" s="35"/>
      <c r="H23" s="36"/>
      <c r="U23" s="39" t="s">
        <v>37</v>
      </c>
    </row>
    <row r="24" spans="1:21">
      <c r="A24" s="35"/>
      <c r="H24" s="36"/>
      <c r="U24" s="39" t="s">
        <v>38</v>
      </c>
    </row>
    <row r="25" spans="1:21" ht="18">
      <c r="A25" s="94" t="s">
        <v>39</v>
      </c>
      <c r="B25" s="94"/>
      <c r="C25" s="94"/>
      <c r="D25" s="94"/>
      <c r="E25" s="94"/>
      <c r="F25" s="94"/>
      <c r="G25" s="94"/>
      <c r="H25" s="94"/>
      <c r="U25" s="39"/>
    </row>
    <row r="26" spans="1:21">
      <c r="A26" s="40" t="s">
        <v>40</v>
      </c>
      <c r="B26" s="7"/>
      <c r="C26" s="7"/>
      <c r="D26" s="7"/>
      <c r="E26" s="7"/>
      <c r="F26" s="7"/>
      <c r="H26" s="36"/>
      <c r="U26" s="39" t="s">
        <v>41</v>
      </c>
    </row>
    <row r="27" spans="1:21">
      <c r="A27" s="4" t="s">
        <v>42</v>
      </c>
      <c r="B27" s="7" t="s">
        <v>43</v>
      </c>
      <c r="C27" s="7" t="s">
        <v>44</v>
      </c>
      <c r="D27" s="7" t="s">
        <v>45</v>
      </c>
      <c r="E27" s="95" t="s">
        <v>39</v>
      </c>
      <c r="F27" s="95"/>
      <c r="G27" s="96"/>
      <c r="H27" s="96"/>
      <c r="I27" s="97"/>
      <c r="J27" s="97"/>
      <c r="U27" s="42"/>
    </row>
    <row r="28" spans="1:21">
      <c r="A28" s="17" t="s">
        <v>46</v>
      </c>
      <c r="B28" s="18">
        <v>0.7</v>
      </c>
      <c r="C28" s="5">
        <f>F5</f>
        <v>0.2</v>
      </c>
      <c r="D28" s="20">
        <f t="shared" ref="D28:D33" si="0">B28-C28</f>
        <v>0.49999999999999994</v>
      </c>
      <c r="E28" s="43" t="str">
        <f>CONCATENATE(D28,"x",E16,"x",$F$4,"=")</f>
        <v>0.5x0.87x3.5=</v>
      </c>
      <c r="F28" s="44">
        <f>D28*E16*F4</f>
        <v>1.5224999999999997</v>
      </c>
      <c r="G28" s="1"/>
      <c r="H28" s="45"/>
      <c r="J28" s="46"/>
      <c r="U28" s="42"/>
    </row>
    <row r="29" spans="1:21">
      <c r="A29" s="17" t="s">
        <v>47</v>
      </c>
      <c r="B29" s="18">
        <v>-0.92</v>
      </c>
      <c r="C29" s="5">
        <f>F5</f>
        <v>0.2</v>
      </c>
      <c r="D29" s="20">
        <f t="shared" si="0"/>
        <v>-1.1200000000000001</v>
      </c>
      <c r="E29" s="43" t="str">
        <f>CONCATENATE(D29,"x",E16,"x",$F$4,"=")</f>
        <v>-1.12x0.87x3.5=</v>
      </c>
      <c r="F29" s="44">
        <f>D29*E16*F4</f>
        <v>-3.4104000000000001</v>
      </c>
      <c r="G29" s="1"/>
      <c r="H29" s="45"/>
      <c r="J29" s="46"/>
      <c r="U29" s="47" t="s">
        <v>48</v>
      </c>
    </row>
    <row r="30" spans="1:21">
      <c r="A30" s="17" t="s">
        <v>49</v>
      </c>
      <c r="B30" s="18">
        <v>-0.42</v>
      </c>
      <c r="C30" s="5">
        <f>F5</f>
        <v>0.2</v>
      </c>
      <c r="D30" s="20">
        <f t="shared" si="0"/>
        <v>-0.62</v>
      </c>
      <c r="E30" s="43" t="str">
        <f>CONCATENATE(D30,"x",E16,"x",$F$4,"=")</f>
        <v>-0.62x0.87x3.5=</v>
      </c>
      <c r="F30" s="44">
        <f>D30*E16*F4</f>
        <v>-1.8878999999999999</v>
      </c>
      <c r="G30" s="1"/>
      <c r="H30" s="45"/>
      <c r="J30" s="46"/>
      <c r="U30" s="47" t="s">
        <v>50</v>
      </c>
    </row>
    <row r="31" spans="1:21">
      <c r="A31" s="17" t="s">
        <v>51</v>
      </c>
      <c r="B31" s="18">
        <v>-0.25</v>
      </c>
      <c r="C31" s="5">
        <f>F5</f>
        <v>0.2</v>
      </c>
      <c r="D31" s="20">
        <f t="shared" si="0"/>
        <v>-0.45</v>
      </c>
      <c r="E31" s="43" t="str">
        <f>CONCATENATE(D31,"x",E16,"x",$F$4,"=")</f>
        <v>-0.45x0.87x3.5=</v>
      </c>
      <c r="F31" s="44">
        <f>D31*E16*F4</f>
        <v>-1.37025</v>
      </c>
      <c r="G31" s="1"/>
      <c r="H31" s="45"/>
      <c r="J31" s="46"/>
      <c r="U31" s="47" t="s">
        <v>52</v>
      </c>
    </row>
    <row r="32" spans="1:21">
      <c r="A32" s="17" t="s">
        <v>53</v>
      </c>
      <c r="B32" s="18">
        <v>-0.6</v>
      </c>
      <c r="C32" s="5">
        <f>F5</f>
        <v>0.2</v>
      </c>
      <c r="D32" s="20">
        <f t="shared" si="0"/>
        <v>-0.8</v>
      </c>
      <c r="E32" s="43" t="str">
        <f>CONCATENATE(D32,"x",E16,"x",$H$4,"=")</f>
        <v>-0.8x0.87x10.47=</v>
      </c>
      <c r="F32" s="44">
        <f>D32*E16*H4</f>
        <v>-7.2871200000000007</v>
      </c>
      <c r="G32" s="1"/>
      <c r="H32" s="36"/>
    </row>
    <row r="33" spans="1:24">
      <c r="A33" s="17" t="s">
        <v>54</v>
      </c>
      <c r="B33" s="18">
        <v>-0.6</v>
      </c>
      <c r="C33" s="5">
        <f>F5</f>
        <v>0.2</v>
      </c>
      <c r="D33" s="20">
        <f t="shared" si="0"/>
        <v>-0.8</v>
      </c>
      <c r="E33" s="43" t="str">
        <f>CONCATENATE(D33,"x",E16,"x",$H$4,"=")</f>
        <v>-0.8x0.87x10.47=</v>
      </c>
      <c r="F33" s="44">
        <f>D33*E16*H4</f>
        <v>-7.2871200000000007</v>
      </c>
      <c r="G33" s="1"/>
      <c r="H33" s="36"/>
    </row>
    <row r="34" spans="1:24" s="49" customFormat="1" ht="15.6">
      <c r="A34" s="40" t="s">
        <v>55</v>
      </c>
      <c r="B34" s="48"/>
      <c r="C34" s="48"/>
      <c r="D34" s="48"/>
      <c r="E34" s="48"/>
      <c r="F34" s="48"/>
      <c r="H34" s="50"/>
      <c r="J34" s="51"/>
    </row>
    <row r="35" spans="1:24">
      <c r="A35" s="4" t="s">
        <v>42</v>
      </c>
      <c r="B35" s="7" t="s">
        <v>43</v>
      </c>
      <c r="C35" s="7" t="s">
        <v>44</v>
      </c>
      <c r="D35" s="7" t="s">
        <v>56</v>
      </c>
      <c r="E35" s="95" t="s">
        <v>39</v>
      </c>
      <c r="F35" s="95"/>
      <c r="G35" s="96"/>
      <c r="H35" s="96"/>
      <c r="I35" s="97"/>
      <c r="J35" s="97"/>
    </row>
    <row r="36" spans="1:24">
      <c r="A36" s="17" t="s">
        <v>46</v>
      </c>
      <c r="B36" s="18">
        <f t="shared" ref="B36:B41" si="1">B28</f>
        <v>0.7</v>
      </c>
      <c r="C36" s="52">
        <f>G5</f>
        <v>-0.2</v>
      </c>
      <c r="D36" s="5">
        <f t="shared" ref="D36:D41" si="2">B36-C36</f>
        <v>0.89999999999999991</v>
      </c>
      <c r="E36" s="43" t="str">
        <f>CONCATENATE(D36,"x",E16,"x",$F$4,"=")</f>
        <v>0.9x0.87x3.5=</v>
      </c>
      <c r="F36" s="44">
        <f>D36*E16*F4</f>
        <v>2.7404999999999999</v>
      </c>
      <c r="H36" s="53"/>
      <c r="J36" s="41"/>
    </row>
    <row r="37" spans="1:24">
      <c r="A37" s="17" t="s">
        <v>47</v>
      </c>
      <c r="B37" s="18">
        <f t="shared" si="1"/>
        <v>-0.92</v>
      </c>
      <c r="C37" s="52">
        <f>G5</f>
        <v>-0.2</v>
      </c>
      <c r="D37" s="20">
        <f t="shared" si="2"/>
        <v>-0.72</v>
      </c>
      <c r="E37" s="43" t="str">
        <f>CONCATENATE(D37,"x",E16,"x",$F$4,"=")</f>
        <v>-0.72x0.87x3.5=</v>
      </c>
      <c r="F37" s="44">
        <f>D37*E16*F4</f>
        <v>-2.1923999999999997</v>
      </c>
      <c r="H37" s="53"/>
      <c r="J37" s="41"/>
    </row>
    <row r="38" spans="1:24">
      <c r="A38" s="17" t="s">
        <v>49</v>
      </c>
      <c r="B38" s="18">
        <v>-0.62</v>
      </c>
      <c r="C38" s="52">
        <f>G5</f>
        <v>-0.2</v>
      </c>
      <c r="D38" s="5">
        <f t="shared" si="2"/>
        <v>-0.42</v>
      </c>
      <c r="E38" s="43" t="str">
        <f>CONCATENATE(D38,"x",E16,"x",$F$4,"=")</f>
        <v>-0.42x0.87x3.5=</v>
      </c>
      <c r="F38" s="44">
        <f>D38*E16*F4</f>
        <v>-1.2788999999999999</v>
      </c>
      <c r="H38" s="53"/>
      <c r="J38" s="41"/>
    </row>
    <row r="39" spans="1:24">
      <c r="A39" s="17" t="s">
        <v>51</v>
      </c>
      <c r="B39" s="18">
        <f t="shared" si="1"/>
        <v>-0.25</v>
      </c>
      <c r="C39" s="52">
        <f>G5</f>
        <v>-0.2</v>
      </c>
      <c r="D39" s="5">
        <f t="shared" si="2"/>
        <v>-4.9999999999999989E-2</v>
      </c>
      <c r="E39" s="43" t="str">
        <f>CONCATENATE(D39,"x",E16,"x",$F$4,"=")</f>
        <v>-0.05x0.87x3.5=</v>
      </c>
      <c r="F39" s="44">
        <f>D39*E16*F4</f>
        <v>-0.15224999999999997</v>
      </c>
      <c r="H39" s="53"/>
      <c r="J39" s="41"/>
      <c r="Q39" s="54" t="s">
        <v>57</v>
      </c>
      <c r="R39" s="55"/>
      <c r="S39" s="55"/>
      <c r="T39" s="55"/>
      <c r="U39" s="55"/>
      <c r="V39" s="54" t="s">
        <v>58</v>
      </c>
      <c r="W39" s="55"/>
      <c r="X39" s="55"/>
    </row>
    <row r="40" spans="1:24">
      <c r="A40" s="17" t="s">
        <v>59</v>
      </c>
      <c r="B40" s="18">
        <f t="shared" si="1"/>
        <v>-0.6</v>
      </c>
      <c r="C40" s="52">
        <f>G5</f>
        <v>-0.2</v>
      </c>
      <c r="D40" s="5">
        <f t="shared" si="2"/>
        <v>-0.39999999999999997</v>
      </c>
      <c r="E40" s="43" t="str">
        <f>CONCATENATE(D40,"x",E16,"x",H4,"=")</f>
        <v>-0.4x0.87x10.47=</v>
      </c>
      <c r="F40" s="44">
        <f>D40*E16*H4</f>
        <v>-3.6435599999999999</v>
      </c>
      <c r="H40" s="36"/>
      <c r="Q40" s="55"/>
      <c r="R40" s="55"/>
      <c r="S40" s="55"/>
      <c r="T40" s="55"/>
      <c r="U40" s="55"/>
      <c r="V40" s="55"/>
      <c r="W40" s="55"/>
      <c r="X40" s="55"/>
    </row>
    <row r="41" spans="1:24" ht="15.75" customHeight="1">
      <c r="A41" s="17" t="s">
        <v>54</v>
      </c>
      <c r="B41" s="18">
        <f t="shared" si="1"/>
        <v>-0.6</v>
      </c>
      <c r="C41" s="52">
        <f>G5</f>
        <v>-0.2</v>
      </c>
      <c r="D41" s="5">
        <f t="shared" si="2"/>
        <v>-0.39999999999999997</v>
      </c>
      <c r="E41" s="43" t="str">
        <f>CONCATENATE(D41,"x",E16,"x",H4,"=")</f>
        <v>-0.4x0.87x10.47=</v>
      </c>
      <c r="F41" s="44">
        <f>D41*E16*H4</f>
        <v>-3.6435599999999999</v>
      </c>
      <c r="H41" s="36"/>
      <c r="Q41" s="98" t="s">
        <v>17</v>
      </c>
      <c r="R41" s="99" t="s">
        <v>60</v>
      </c>
      <c r="S41" s="100"/>
      <c r="T41" s="100"/>
      <c r="U41" s="55"/>
      <c r="V41" s="98" t="s">
        <v>17</v>
      </c>
      <c r="W41" s="99" t="s">
        <v>60</v>
      </c>
      <c r="X41" s="55"/>
    </row>
    <row r="42" spans="1:24" s="49" customFormat="1" ht="28.2">
      <c r="A42" s="57" t="s">
        <v>61</v>
      </c>
      <c r="B42" s="48"/>
      <c r="C42" s="48"/>
      <c r="D42" s="48"/>
      <c r="E42" s="48"/>
      <c r="F42" s="48"/>
      <c r="H42" s="50"/>
      <c r="J42" s="51"/>
      <c r="Q42" s="98"/>
      <c r="R42" s="99"/>
      <c r="S42" s="56" t="s">
        <v>62</v>
      </c>
      <c r="T42" s="58"/>
      <c r="U42" s="55"/>
      <c r="V42" s="98"/>
      <c r="W42" s="99"/>
      <c r="X42" s="56" t="s">
        <v>62</v>
      </c>
    </row>
    <row r="43" spans="1:24" ht="15.75" customHeight="1">
      <c r="A43" s="4" t="s">
        <v>42</v>
      </c>
      <c r="B43" s="7" t="s">
        <v>43</v>
      </c>
      <c r="C43" s="7" t="s">
        <v>44</v>
      </c>
      <c r="D43" s="7" t="s">
        <v>56</v>
      </c>
      <c r="E43" s="95" t="s">
        <v>39</v>
      </c>
      <c r="F43" s="95"/>
      <c r="G43" s="101"/>
      <c r="H43" s="101"/>
      <c r="I43" s="85"/>
      <c r="J43" s="85"/>
      <c r="Q43" s="102" t="s">
        <v>63</v>
      </c>
      <c r="R43" s="59" t="s">
        <v>64</v>
      </c>
      <c r="S43" s="60">
        <v>0.7</v>
      </c>
      <c r="T43" s="61">
        <v>-0.5</v>
      </c>
      <c r="U43" s="55"/>
      <c r="V43" s="102" t="s">
        <v>63</v>
      </c>
      <c r="W43" s="59" t="s">
        <v>64</v>
      </c>
      <c r="X43" s="60">
        <v>-0.5</v>
      </c>
    </row>
    <row r="44" spans="1:24">
      <c r="A44" s="17" t="s">
        <v>46</v>
      </c>
      <c r="B44" s="18">
        <v>-0.6</v>
      </c>
      <c r="C44" s="5">
        <f>F5</f>
        <v>0.2</v>
      </c>
      <c r="D44" s="5">
        <f t="shared" ref="D44:D49" si="3">B44-C44</f>
        <v>-0.8</v>
      </c>
      <c r="E44" s="43" t="str">
        <f>CONCATENATE(D44,"x",E16,"x",$F$4,"=")</f>
        <v>-0.8x0.87x3.5=</v>
      </c>
      <c r="F44" s="44">
        <f>D44*E16*F4</f>
        <v>-2.4360000000000004</v>
      </c>
      <c r="H44" s="53"/>
      <c r="J44" s="41"/>
      <c r="Q44" s="102"/>
      <c r="R44" s="59" t="s">
        <v>65</v>
      </c>
      <c r="S44" s="60">
        <v>0.7</v>
      </c>
      <c r="T44" s="61">
        <v>-0.6</v>
      </c>
      <c r="U44" s="55"/>
      <c r="V44" s="102"/>
      <c r="W44" s="59" t="s">
        <v>65</v>
      </c>
      <c r="X44" s="60">
        <v>-0.5</v>
      </c>
    </row>
    <row r="45" spans="1:24" ht="15.6">
      <c r="A45" s="17" t="s">
        <v>66</v>
      </c>
      <c r="B45" s="18">
        <v>-0.82</v>
      </c>
      <c r="C45" s="5">
        <f>F5</f>
        <v>0.2</v>
      </c>
      <c r="D45" s="5">
        <f t="shared" si="3"/>
        <v>-1.02</v>
      </c>
      <c r="E45" s="43" t="str">
        <f>CONCATENATE(D45,"x",E16,"x",$F$4,"=")</f>
        <v>-1.02x0.87x3.5=</v>
      </c>
      <c r="F45" s="44">
        <f>D45*E16*F4</f>
        <v>-3.1059000000000001</v>
      </c>
      <c r="H45" s="53"/>
      <c r="J45" s="41"/>
      <c r="Q45" s="102"/>
      <c r="R45" s="62" t="s">
        <v>67</v>
      </c>
      <c r="S45" s="60">
        <v>0.7</v>
      </c>
      <c r="T45" s="61">
        <v>-0.6</v>
      </c>
      <c r="U45" s="55"/>
      <c r="V45" s="102"/>
      <c r="W45" s="62" t="s">
        <v>67</v>
      </c>
      <c r="X45" s="60">
        <v>-0.5</v>
      </c>
    </row>
    <row r="46" spans="1:24" ht="15.75" customHeight="1">
      <c r="A46" s="17" t="s">
        <v>66</v>
      </c>
      <c r="B46" s="18">
        <v>-0.42</v>
      </c>
      <c r="C46" s="5">
        <f>F5</f>
        <v>0.2</v>
      </c>
      <c r="D46" s="5">
        <f t="shared" si="3"/>
        <v>-0.62</v>
      </c>
      <c r="E46" s="43" t="str">
        <f>CONCATENATE(D46,"x",E16,"x",$F$4,"=")</f>
        <v>-0.62x0.87x3.5=</v>
      </c>
      <c r="F46" s="44">
        <f>D46*E16*F4</f>
        <v>-1.8878999999999999</v>
      </c>
      <c r="H46" s="53"/>
      <c r="J46" s="41"/>
      <c r="Q46" s="103" t="s">
        <v>68</v>
      </c>
      <c r="R46" s="59" t="s">
        <v>64</v>
      </c>
      <c r="S46" s="60">
        <v>0.7</v>
      </c>
      <c r="T46" s="61">
        <v>-0.5</v>
      </c>
      <c r="U46" s="55"/>
      <c r="V46" s="103" t="s">
        <v>68</v>
      </c>
      <c r="W46" s="59" t="s">
        <v>64</v>
      </c>
      <c r="X46" s="60">
        <v>-0.6</v>
      </c>
    </row>
    <row r="47" spans="1:24">
      <c r="A47" s="17" t="s">
        <v>51</v>
      </c>
      <c r="B47" s="18">
        <v>-0.6</v>
      </c>
      <c r="C47" s="5">
        <f>F5</f>
        <v>0.2</v>
      </c>
      <c r="D47" s="5">
        <f t="shared" si="3"/>
        <v>-0.8</v>
      </c>
      <c r="E47" s="43" t="str">
        <f>CONCATENATE(D47,"x",E16,"x",$F$4,"=")</f>
        <v>-0.8x0.87x3.5=</v>
      </c>
      <c r="F47" s="44">
        <f>D47*E16*F4</f>
        <v>-2.4360000000000004</v>
      </c>
      <c r="H47" s="53"/>
      <c r="J47" s="41"/>
      <c r="Q47" s="103"/>
      <c r="R47" s="63" t="s">
        <v>65</v>
      </c>
      <c r="S47" s="60">
        <v>0.7</v>
      </c>
      <c r="T47" s="61">
        <v>-0.7</v>
      </c>
      <c r="U47" s="55"/>
      <c r="V47" s="103"/>
      <c r="W47" s="63" t="s">
        <v>65</v>
      </c>
      <c r="X47" s="60">
        <v>-0.5</v>
      </c>
    </row>
    <row r="48" spans="1:24" ht="15.6">
      <c r="A48" s="17" t="s">
        <v>53</v>
      </c>
      <c r="B48" s="18">
        <v>0.7</v>
      </c>
      <c r="C48" s="5">
        <f>F5</f>
        <v>0.2</v>
      </c>
      <c r="D48" s="5">
        <f t="shared" si="3"/>
        <v>0.49999999999999994</v>
      </c>
      <c r="E48" s="43" t="str">
        <f>CONCATENATE(D48,"x",E16,"x",H4,"=")</f>
        <v>0.5x0.87x10.47=</v>
      </c>
      <c r="F48" s="44">
        <f>D48*E16*H4</f>
        <v>4.5544500000000001</v>
      </c>
      <c r="H48" s="36"/>
      <c r="Q48" s="103"/>
      <c r="R48" s="62" t="s">
        <v>67</v>
      </c>
      <c r="S48" s="60">
        <v>0.7</v>
      </c>
      <c r="T48" s="61">
        <v>-0.7</v>
      </c>
      <c r="U48" s="55"/>
      <c r="V48" s="103"/>
      <c r="W48" s="62" t="s">
        <v>67</v>
      </c>
      <c r="X48" s="60">
        <v>-0.5</v>
      </c>
    </row>
    <row r="49" spans="1:24" ht="15.75" customHeight="1">
      <c r="A49" s="17" t="s">
        <v>54</v>
      </c>
      <c r="B49" s="18">
        <v>-0.25</v>
      </c>
      <c r="C49" s="5">
        <f>F5</f>
        <v>0.2</v>
      </c>
      <c r="D49" s="5">
        <f t="shared" si="3"/>
        <v>-0.45</v>
      </c>
      <c r="E49" s="43" t="str">
        <f>CONCATENATE(D49,"x",E16,"x",H4,"=")</f>
        <v>-0.45x0.87x10.47=</v>
      </c>
      <c r="F49" s="44">
        <f>D49*E16*H4</f>
        <v>-4.099005</v>
      </c>
      <c r="H49" s="36"/>
      <c r="Q49" s="103" t="s">
        <v>41</v>
      </c>
      <c r="R49" s="59" t="s">
        <v>64</v>
      </c>
      <c r="S49" s="60">
        <v>0.8</v>
      </c>
      <c r="T49" s="61">
        <v>-0.8</v>
      </c>
      <c r="U49" s="55"/>
      <c r="V49" s="103" t="s">
        <v>41</v>
      </c>
      <c r="W49" s="59" t="s">
        <v>64</v>
      </c>
      <c r="X49" s="60">
        <v>-0.8</v>
      </c>
    </row>
    <row r="50" spans="1:24" s="49" customFormat="1" ht="15.6">
      <c r="A50" s="57" t="s">
        <v>69</v>
      </c>
      <c r="B50" s="48"/>
      <c r="C50" s="48"/>
      <c r="D50" s="48"/>
      <c r="E50" s="48"/>
      <c r="F50" s="48"/>
      <c r="H50" s="50"/>
      <c r="J50" s="51"/>
      <c r="Q50" s="103"/>
      <c r="R50" s="59" t="s">
        <v>65</v>
      </c>
      <c r="S50" s="60">
        <v>0.7</v>
      </c>
      <c r="T50" s="61">
        <v>-0.7</v>
      </c>
      <c r="U50" s="55"/>
      <c r="V50" s="103"/>
      <c r="W50" s="59" t="s">
        <v>65</v>
      </c>
      <c r="X50" s="60">
        <v>-0.5</v>
      </c>
    </row>
    <row r="51" spans="1:24" ht="15.6">
      <c r="A51" s="4" t="s">
        <v>42</v>
      </c>
      <c r="B51" s="7" t="s">
        <v>43</v>
      </c>
      <c r="C51" s="7" t="s">
        <v>44</v>
      </c>
      <c r="D51" s="7" t="s">
        <v>56</v>
      </c>
      <c r="E51" s="95" t="s">
        <v>39</v>
      </c>
      <c r="F51" s="95"/>
      <c r="G51" s="96"/>
      <c r="H51" s="96"/>
      <c r="I51" s="97"/>
      <c r="J51" s="97"/>
      <c r="Q51" s="103"/>
      <c r="R51" s="62" t="s">
        <v>67</v>
      </c>
      <c r="S51" s="60">
        <v>0.7</v>
      </c>
      <c r="T51" s="61">
        <v>-0.7</v>
      </c>
      <c r="U51" s="55"/>
      <c r="V51" s="103"/>
      <c r="W51" s="62" t="s">
        <v>67</v>
      </c>
      <c r="X51" s="60">
        <v>-0.5</v>
      </c>
    </row>
    <row r="52" spans="1:24">
      <c r="A52" s="17" t="s">
        <v>46</v>
      </c>
      <c r="B52" s="18">
        <f t="shared" ref="B52:B57" si="4">B44</f>
        <v>-0.6</v>
      </c>
      <c r="C52" s="52">
        <f>G5</f>
        <v>-0.2</v>
      </c>
      <c r="D52" s="5">
        <f t="shared" ref="D52:D57" si="5">B52-C52</f>
        <v>-0.39999999999999997</v>
      </c>
      <c r="E52" s="43" t="str">
        <f>CONCATENATE(D52,"x",E16,"x",$F$4,"=")</f>
        <v>-0.4x0.87x3.5=</v>
      </c>
      <c r="F52" s="44">
        <f>D52*E16*F4</f>
        <v>-1.218</v>
      </c>
      <c r="H52" s="53"/>
      <c r="J52" s="41"/>
      <c r="Q52" s="55"/>
      <c r="R52" s="55"/>
      <c r="S52" s="55"/>
      <c r="T52" s="55"/>
      <c r="U52" s="55"/>
      <c r="V52" s="55"/>
      <c r="W52" s="55"/>
      <c r="X52" s="55"/>
    </row>
    <row r="53" spans="1:24">
      <c r="A53" s="17" t="s">
        <v>66</v>
      </c>
      <c r="B53" s="18">
        <v>-0.9</v>
      </c>
      <c r="C53" s="52">
        <f>G5</f>
        <v>-0.2</v>
      </c>
      <c r="D53" s="5">
        <f t="shared" si="5"/>
        <v>-0.7</v>
      </c>
      <c r="E53" s="43" t="str">
        <f>CONCATENATE(D53,"x",E16,"x",$F$4,"=")</f>
        <v>-0.7x0.87x3.5=</v>
      </c>
      <c r="F53" s="44">
        <f>D53*E16*F4</f>
        <v>-2.1315</v>
      </c>
      <c r="H53" s="53"/>
      <c r="J53" s="41"/>
      <c r="Q53" s="55"/>
      <c r="R53" s="55"/>
      <c r="S53" s="55"/>
      <c r="T53" s="55"/>
      <c r="U53" s="55"/>
      <c r="V53" s="55"/>
      <c r="W53" s="55"/>
      <c r="X53" s="55"/>
    </row>
    <row r="54" spans="1:24" ht="15.75" customHeight="1">
      <c r="A54" s="17" t="s">
        <v>66</v>
      </c>
      <c r="B54" s="18">
        <v>-0.6</v>
      </c>
      <c r="C54" s="52">
        <f>G5</f>
        <v>-0.2</v>
      </c>
      <c r="D54" s="5">
        <f t="shared" si="5"/>
        <v>-0.39999999999999997</v>
      </c>
      <c r="E54" s="43" t="str">
        <f>CONCATENATE(D54,"x",E16,"x",$F$4,"=")</f>
        <v>-0.4x0.87x3.5=</v>
      </c>
      <c r="F54" s="44">
        <f>D54*E16*F4</f>
        <v>-1.218</v>
      </c>
      <c r="H54" s="53"/>
      <c r="J54" s="41"/>
      <c r="Q54" s="98" t="s">
        <v>17</v>
      </c>
      <c r="R54" s="104" t="s">
        <v>60</v>
      </c>
      <c r="S54" s="55"/>
      <c r="T54" s="55"/>
      <c r="U54" s="55"/>
      <c r="V54" s="98" t="s">
        <v>17</v>
      </c>
      <c r="W54" s="104" t="s">
        <v>60</v>
      </c>
      <c r="X54" s="55"/>
    </row>
    <row r="55" spans="1:24">
      <c r="A55" s="17" t="s">
        <v>51</v>
      </c>
      <c r="B55" s="18">
        <f t="shared" si="4"/>
        <v>-0.6</v>
      </c>
      <c r="C55" s="52">
        <f>G5</f>
        <v>-0.2</v>
      </c>
      <c r="D55" s="5">
        <f t="shared" si="5"/>
        <v>-0.39999999999999997</v>
      </c>
      <c r="E55" s="43" t="str">
        <f>CONCATENATE(D55,"x",E16,"x",$F$4,"=")</f>
        <v>-0.4x0.87x3.5=</v>
      </c>
      <c r="F55" s="44">
        <f>D55*E16*F4</f>
        <v>-1.218</v>
      </c>
      <c r="H55" s="53"/>
      <c r="J55" s="41"/>
      <c r="Q55" s="98"/>
      <c r="R55" s="104"/>
      <c r="S55" s="56" t="s">
        <v>70</v>
      </c>
      <c r="T55" s="55"/>
      <c r="U55" s="55"/>
      <c r="V55" s="98"/>
      <c r="W55" s="104"/>
      <c r="X55" s="56" t="s">
        <v>70</v>
      </c>
    </row>
    <row r="56" spans="1:24" ht="15.75" customHeight="1">
      <c r="A56" s="17" t="s">
        <v>53</v>
      </c>
      <c r="B56" s="18">
        <f t="shared" si="4"/>
        <v>0.7</v>
      </c>
      <c r="C56" s="52">
        <f>G5</f>
        <v>-0.2</v>
      </c>
      <c r="D56" s="64">
        <f t="shared" si="5"/>
        <v>0.89999999999999991</v>
      </c>
      <c r="E56" s="65" t="str">
        <f>CONCATENATE(D56,"x",E16,"x",H4,"=")</f>
        <v>0.9x0.87x10.47=</v>
      </c>
      <c r="F56" s="66">
        <f>D56*E16*H4</f>
        <v>8.19801</v>
      </c>
      <c r="H56" s="36"/>
      <c r="Q56" s="102" t="s">
        <v>63</v>
      </c>
      <c r="R56" s="67" t="s">
        <v>64</v>
      </c>
      <c r="S56" s="60">
        <v>-0.2</v>
      </c>
      <c r="T56" s="55">
        <v>-0.5</v>
      </c>
      <c r="U56" s="55"/>
      <c r="V56" s="102" t="s">
        <v>63</v>
      </c>
      <c r="W56" s="67" t="s">
        <v>64</v>
      </c>
      <c r="X56" s="60">
        <v>-0.5</v>
      </c>
    </row>
    <row r="57" spans="1:24">
      <c r="A57" s="68" t="s">
        <v>54</v>
      </c>
      <c r="B57" s="69">
        <f t="shared" si="4"/>
        <v>-0.25</v>
      </c>
      <c r="C57" s="70">
        <f>G5</f>
        <v>-0.2</v>
      </c>
      <c r="D57" s="71">
        <f t="shared" si="5"/>
        <v>-4.9999999999999989E-2</v>
      </c>
      <c r="E57" s="72" t="str">
        <f>CONCATENATE(D57,"x",E16,"x",H4,"=")</f>
        <v>-0.05x0.87x10.47=</v>
      </c>
      <c r="F57" s="73">
        <f>D57*E16*H4</f>
        <v>-0.45544499999999993</v>
      </c>
      <c r="G57" s="74"/>
      <c r="H57" s="75"/>
      <c r="Q57" s="102"/>
      <c r="R57" s="67" t="s">
        <v>65</v>
      </c>
      <c r="S57" s="60">
        <v>-0.25</v>
      </c>
      <c r="T57" s="55">
        <v>-0.6</v>
      </c>
      <c r="U57" s="55"/>
      <c r="V57" s="102"/>
      <c r="W57" s="67" t="s">
        <v>65</v>
      </c>
      <c r="X57" s="60">
        <v>-0.5</v>
      </c>
    </row>
    <row r="58" spans="1:24" ht="15.6">
      <c r="A58" s="1"/>
      <c r="B58" s="1"/>
      <c r="C58" s="1"/>
      <c r="D58" s="1"/>
      <c r="E58" s="1"/>
      <c r="F58" s="76"/>
      <c r="Q58" s="102"/>
      <c r="R58" s="77" t="s">
        <v>67</v>
      </c>
      <c r="S58" s="60">
        <v>-0.25</v>
      </c>
      <c r="T58" s="55">
        <v>-0.6</v>
      </c>
      <c r="U58" s="55"/>
      <c r="V58" s="102"/>
      <c r="W58" s="77" t="s">
        <v>67</v>
      </c>
      <c r="X58" s="60">
        <v>-0.5</v>
      </c>
    </row>
    <row r="59" spans="1:24" ht="15.75" customHeight="1">
      <c r="A59" s="1"/>
      <c r="B59" s="1"/>
      <c r="C59" s="1"/>
      <c r="D59" s="1"/>
      <c r="E59" s="78"/>
      <c r="F59" s="78"/>
      <c r="G59" s="79"/>
      <c r="H59" s="78"/>
      <c r="I59" s="78"/>
      <c r="Q59" s="103" t="s">
        <v>68</v>
      </c>
      <c r="R59" s="67" t="s">
        <v>64</v>
      </c>
      <c r="S59" s="60">
        <v>-0.25</v>
      </c>
      <c r="T59" s="55">
        <v>-0.6</v>
      </c>
      <c r="U59" s="55"/>
      <c r="V59" s="103" t="s">
        <v>68</v>
      </c>
      <c r="W59" s="67" t="s">
        <v>64</v>
      </c>
      <c r="X59" s="60">
        <v>-0.6</v>
      </c>
    </row>
    <row r="60" spans="1:24">
      <c r="E60" s="78"/>
      <c r="F60" s="78"/>
      <c r="G60" s="79"/>
      <c r="H60" s="78"/>
      <c r="I60" s="78"/>
      <c r="Q60" s="103"/>
      <c r="R60" s="63" t="s">
        <v>65</v>
      </c>
      <c r="S60" s="60">
        <v>-0.3</v>
      </c>
      <c r="T60" s="55">
        <v>-0.7</v>
      </c>
      <c r="U60" s="55"/>
      <c r="V60" s="103"/>
      <c r="W60" s="63" t="s">
        <v>65</v>
      </c>
      <c r="X60" s="60">
        <v>-0.5</v>
      </c>
    </row>
    <row r="61" spans="1:24" ht="15.6">
      <c r="E61" s="78"/>
      <c r="F61" s="78"/>
      <c r="G61" s="79"/>
      <c r="H61" s="78"/>
      <c r="I61" s="78"/>
      <c r="Q61" s="103"/>
      <c r="R61" s="77" t="s">
        <v>67</v>
      </c>
      <c r="S61" s="60">
        <v>-0.3</v>
      </c>
      <c r="T61" s="55">
        <v>-0.7</v>
      </c>
      <c r="U61" s="55"/>
      <c r="V61" s="103"/>
      <c r="W61" s="77" t="s">
        <v>67</v>
      </c>
      <c r="X61" s="60">
        <v>-0.5</v>
      </c>
    </row>
    <row r="62" spans="1:24" ht="15.75" customHeight="1">
      <c r="E62" s="78"/>
      <c r="F62" s="78"/>
      <c r="G62" s="78"/>
      <c r="H62" s="78"/>
      <c r="I62" s="78"/>
      <c r="Q62" s="103" t="s">
        <v>41</v>
      </c>
      <c r="R62" s="67" t="s">
        <v>64</v>
      </c>
      <c r="S62" s="60">
        <v>-0.25</v>
      </c>
      <c r="T62" s="55">
        <v>-0.8</v>
      </c>
      <c r="U62" s="55"/>
      <c r="V62" s="103" t="s">
        <v>41</v>
      </c>
      <c r="W62" s="67" t="s">
        <v>64</v>
      </c>
      <c r="X62" s="60">
        <v>-0.8</v>
      </c>
    </row>
    <row r="63" spans="1:24">
      <c r="E63" s="78"/>
      <c r="F63" s="78"/>
      <c r="G63" s="78"/>
      <c r="H63" s="78"/>
      <c r="I63" s="78"/>
      <c r="Q63" s="103"/>
      <c r="R63" s="67" t="s">
        <v>65</v>
      </c>
      <c r="S63" s="60">
        <v>-0.4</v>
      </c>
      <c r="T63" s="55">
        <v>-0.7</v>
      </c>
      <c r="U63" s="55"/>
      <c r="V63" s="103"/>
      <c r="W63" s="67" t="s">
        <v>65</v>
      </c>
      <c r="X63" s="60">
        <v>-0.5</v>
      </c>
    </row>
    <row r="64" spans="1:24" ht="15.6">
      <c r="Q64" s="103"/>
      <c r="R64" s="77" t="s">
        <v>67</v>
      </c>
      <c r="S64" s="60">
        <v>-0.4</v>
      </c>
      <c r="T64" s="55">
        <v>-0.7</v>
      </c>
      <c r="U64" s="55"/>
      <c r="V64" s="103"/>
      <c r="W64" s="77" t="s">
        <v>67</v>
      </c>
      <c r="X64" s="60">
        <v>-0.5</v>
      </c>
    </row>
    <row r="67" spans="17:19" ht="15" customHeight="1">
      <c r="Q67" s="105" t="s">
        <v>63</v>
      </c>
      <c r="R67" s="81" t="s">
        <v>64</v>
      </c>
      <c r="S67" s="80">
        <v>-0.5</v>
      </c>
    </row>
    <row r="68" spans="17:19">
      <c r="Q68" s="105"/>
      <c r="R68" s="81" t="s">
        <v>65</v>
      </c>
      <c r="S68" s="80">
        <v>-0.6</v>
      </c>
    </row>
    <row r="69" spans="17:19" ht="15.6">
      <c r="Q69" s="105"/>
      <c r="R69" s="82" t="s">
        <v>67</v>
      </c>
      <c r="S69" s="80">
        <v>-0.6</v>
      </c>
    </row>
    <row r="70" spans="17:19" ht="15" customHeight="1">
      <c r="Q70" s="105" t="s">
        <v>68</v>
      </c>
      <c r="R70" s="81" t="s">
        <v>64</v>
      </c>
      <c r="S70" s="80">
        <v>-0.5</v>
      </c>
    </row>
    <row r="71" spans="17:19">
      <c r="Q71" s="105"/>
      <c r="R71" s="81" t="s">
        <v>65</v>
      </c>
      <c r="S71" s="80">
        <v>-0.7</v>
      </c>
    </row>
    <row r="72" spans="17:19" ht="15.6">
      <c r="Q72" s="105"/>
      <c r="R72" s="82" t="s">
        <v>67</v>
      </c>
      <c r="S72" s="80">
        <v>-0.7</v>
      </c>
    </row>
    <row r="73" spans="17:19" ht="15" customHeight="1">
      <c r="Q73" s="105" t="s">
        <v>41</v>
      </c>
      <c r="R73" s="81" t="s">
        <v>64</v>
      </c>
      <c r="S73" s="80">
        <v>-0.8</v>
      </c>
    </row>
    <row r="74" spans="17:19">
      <c r="Q74" s="105"/>
      <c r="R74" s="81" t="s">
        <v>65</v>
      </c>
      <c r="S74" s="80">
        <v>-0.7</v>
      </c>
    </row>
    <row r="75" spans="17:19" ht="15.6">
      <c r="Q75" s="105"/>
      <c r="R75" s="82" t="s">
        <v>67</v>
      </c>
      <c r="S75" s="80">
        <v>-0.7</v>
      </c>
    </row>
    <row r="76" spans="17:19">
      <c r="Q76" s="55"/>
      <c r="R76" s="55"/>
      <c r="S76" s="55"/>
    </row>
    <row r="77" spans="17:19">
      <c r="Q77" s="55"/>
      <c r="R77" s="55"/>
      <c r="S77" s="55"/>
    </row>
    <row r="78" spans="17:19" ht="15" customHeight="1">
      <c r="Q78" s="104" t="s">
        <v>17</v>
      </c>
      <c r="R78" s="104" t="s">
        <v>60</v>
      </c>
      <c r="S78" s="55"/>
    </row>
    <row r="79" spans="17:19">
      <c r="Q79" s="104"/>
      <c r="R79" s="104"/>
      <c r="S79" s="55"/>
    </row>
    <row r="80" spans="17:19" ht="15" customHeight="1">
      <c r="Q80" s="105" t="s">
        <v>63</v>
      </c>
      <c r="R80" s="81" t="s">
        <v>64</v>
      </c>
      <c r="S80" s="83">
        <v>-0.5</v>
      </c>
    </row>
    <row r="81" spans="17:19">
      <c r="Q81" s="105"/>
      <c r="R81" s="81" t="s">
        <v>65</v>
      </c>
      <c r="S81" s="83">
        <v>-0.6</v>
      </c>
    </row>
    <row r="82" spans="17:19" ht="15.6">
      <c r="Q82" s="105"/>
      <c r="R82" s="82" t="s">
        <v>67</v>
      </c>
      <c r="S82" s="83">
        <v>-0.6</v>
      </c>
    </row>
    <row r="83" spans="17:19" ht="15" customHeight="1">
      <c r="Q83" s="105" t="s">
        <v>68</v>
      </c>
      <c r="R83" s="81" t="s">
        <v>64</v>
      </c>
      <c r="S83" s="83">
        <v>-0.6</v>
      </c>
    </row>
    <row r="84" spans="17:19">
      <c r="Q84" s="105"/>
      <c r="R84" s="81" t="s">
        <v>65</v>
      </c>
      <c r="S84" s="83">
        <v>-0.7</v>
      </c>
    </row>
    <row r="85" spans="17:19" ht="15.6">
      <c r="Q85" s="105"/>
      <c r="R85" s="82" t="s">
        <v>67</v>
      </c>
      <c r="S85" s="83">
        <v>-0.7</v>
      </c>
    </row>
    <row r="86" spans="17:19" ht="15" customHeight="1">
      <c r="Q86" s="105" t="s">
        <v>41</v>
      </c>
      <c r="R86" s="81" t="s">
        <v>64</v>
      </c>
      <c r="S86" s="83">
        <v>-0.8</v>
      </c>
    </row>
    <row r="87" spans="17:19">
      <c r="Q87" s="105"/>
      <c r="R87" s="81" t="s">
        <v>65</v>
      </c>
      <c r="S87" s="83">
        <v>-0.7</v>
      </c>
    </row>
    <row r="88" spans="17:19" ht="15.6">
      <c r="Q88" s="105"/>
      <c r="R88" s="82" t="s">
        <v>67</v>
      </c>
      <c r="S88" s="83">
        <v>-0.7</v>
      </c>
    </row>
  </sheetData>
  <mergeCells count="57">
    <mergeCell ref="Q83:Q85"/>
    <mergeCell ref="Q86:Q88"/>
    <mergeCell ref="Q70:Q72"/>
    <mergeCell ref="Q73:Q75"/>
    <mergeCell ref="Q78:Q79"/>
    <mergeCell ref="R78:R79"/>
    <mergeCell ref="Q80:Q82"/>
    <mergeCell ref="Q59:Q61"/>
    <mergeCell ref="V59:V61"/>
    <mergeCell ref="Q62:Q64"/>
    <mergeCell ref="V62:V64"/>
    <mergeCell ref="Q67:Q69"/>
    <mergeCell ref="Q54:Q55"/>
    <mergeCell ref="R54:R55"/>
    <mergeCell ref="V54:V55"/>
    <mergeCell ref="W54:W55"/>
    <mergeCell ref="Q56:Q58"/>
    <mergeCell ref="V56:V58"/>
    <mergeCell ref="Q46:Q48"/>
    <mergeCell ref="V46:V48"/>
    <mergeCell ref="Q49:Q51"/>
    <mergeCell ref="V49:V51"/>
    <mergeCell ref="E51:F51"/>
    <mergeCell ref="G51:H51"/>
    <mergeCell ref="I51:J51"/>
    <mergeCell ref="E43:F43"/>
    <mergeCell ref="G43:H43"/>
    <mergeCell ref="I43:J43"/>
    <mergeCell ref="Q43:Q45"/>
    <mergeCell ref="V43:V45"/>
    <mergeCell ref="Q41:Q42"/>
    <mergeCell ref="R41:R42"/>
    <mergeCell ref="S41:T41"/>
    <mergeCell ref="V41:V42"/>
    <mergeCell ref="W41:W42"/>
    <mergeCell ref="E27:F27"/>
    <mergeCell ref="G27:H27"/>
    <mergeCell ref="I27:J27"/>
    <mergeCell ref="E35:F35"/>
    <mergeCell ref="G35:H35"/>
    <mergeCell ref="I35:J35"/>
    <mergeCell ref="A16:D16"/>
    <mergeCell ref="F16:H16"/>
    <mergeCell ref="C18:D18"/>
    <mergeCell ref="C19:D19"/>
    <mergeCell ref="A25:H25"/>
    <mergeCell ref="C8:H8"/>
    <mergeCell ref="C9:H9"/>
    <mergeCell ref="C10:H10"/>
    <mergeCell ref="E11:H11"/>
    <mergeCell ref="A12:D12"/>
    <mergeCell ref="G12:H12"/>
    <mergeCell ref="A1:H1"/>
    <mergeCell ref="K1:N1"/>
    <mergeCell ref="A6:H6"/>
    <mergeCell ref="R6:U6"/>
    <mergeCell ref="C7:H7"/>
  </mergeCells>
  <pageMargins left="0.70833333333333304" right="0.70833333333333304" top="0.74791666666666701" bottom="0.74791666666666701" header="0.51180555555555496" footer="0.51180555555555496"/>
  <pageSetup paperSize="9" scale="8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WIND LOAD CALCULATION</vt:lpstr>
      <vt:lpstr>'WIND LOAD CALCULATION'!Print_Area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Sandeep Chauhan [EBL]</dc:creator>
  <dc:description/>
  <cp:lastModifiedBy>Admin</cp:lastModifiedBy>
  <cp:revision>13</cp:revision>
  <cp:lastPrinted>2020-08-04T13:33:00Z</cp:lastPrinted>
  <dcterms:created xsi:type="dcterms:W3CDTF">2015-11-20T10:55:00Z</dcterms:created>
  <dcterms:modified xsi:type="dcterms:W3CDTF">2025-06-26T14:33:12Z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