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_Indian\C151-200\C187-\C187-119-Mumbai\Proposal\R3\"/>
    </mc:Choice>
  </mc:AlternateContent>
  <bookViews>
    <workbookView xWindow="0" yWindow="0" windowWidth="28800" windowHeight="11730" tabRatio="500"/>
  </bookViews>
  <sheets>
    <sheet name="EOT Crane Load Calculations" sheetId="1" r:id="rId1"/>
    <sheet name="Crane Wheel Base" sheetId="2" r:id="rId2"/>
    <sheet name="Notes" sheetId="3" r:id="rId3"/>
    <sheet name="Load Cases" sheetId="4" r:id="rId4"/>
    <sheet name="Sheet1" sheetId="5" r:id="rId5"/>
  </sheets>
  <definedNames>
    <definedName name="_xlnm.Print_Area" localSheetId="0">'EOT Crane Load Calculations'!$A$1:$G$32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1" l="1"/>
  <c r="D20" i="1" s="1"/>
  <c r="D31" i="1" s="1"/>
  <c r="D17" i="1"/>
  <c r="D18" i="1" s="1"/>
  <c r="D24" i="1" s="1"/>
  <c r="E2" i="1"/>
  <c r="D28" i="1" l="1"/>
  <c r="D26" i="1"/>
  <c r="D21" i="1"/>
  <c r="D22" i="1" s="1"/>
</calcChain>
</file>

<file path=xl/sharedStrings.xml><?xml version="1.0" encoding="utf-8"?>
<sst xmlns="http://schemas.openxmlformats.org/spreadsheetml/2006/main" count="67" uniqueCount="48">
  <si>
    <t>EOT Crane Load Calculations as per IS:875 Part2:1987</t>
  </si>
  <si>
    <t>Date:</t>
  </si>
  <si>
    <t>Description</t>
  </si>
  <si>
    <t>Equations</t>
  </si>
  <si>
    <t>Calculations</t>
  </si>
  <si>
    <t>Units</t>
  </si>
  <si>
    <t>Remarks</t>
  </si>
  <si>
    <t>Note:</t>
  </si>
  <si>
    <t>Building Length, L=</t>
  </si>
  <si>
    <t>Mtr</t>
  </si>
  <si>
    <t>General 
Structure's
Data</t>
  </si>
  <si>
    <t>Values to be fed manually in cell's with marked color.</t>
  </si>
  <si>
    <t>Building Width, W=</t>
  </si>
  <si>
    <t>Building Height, H=</t>
  </si>
  <si>
    <t>Bay Spacing, b=</t>
  </si>
  <si>
    <t>Crane Span, c=</t>
  </si>
  <si>
    <t>Crane Type=</t>
  </si>
  <si>
    <t>Double Girder 
EOT Crane</t>
  </si>
  <si>
    <t>Crane 
Spec's</t>
  </si>
  <si>
    <r>
      <rPr>
        <sz val="10"/>
        <color rgb="FF000000"/>
        <rFont val="Calibri"/>
        <family val="2"/>
        <charset val="1"/>
      </rPr>
      <t>Lifting Capacity, L</t>
    </r>
    <r>
      <rPr>
        <vertAlign val="subscript"/>
        <sz val="10"/>
        <color rgb="FF000000"/>
        <rFont val="Calibri"/>
        <family val="2"/>
        <charset val="1"/>
      </rPr>
      <t>c</t>
    </r>
    <r>
      <rPr>
        <sz val="10"/>
        <color rgb="FF000000"/>
        <rFont val="Calibri"/>
        <family val="2"/>
        <charset val="1"/>
      </rPr>
      <t>=</t>
    </r>
  </si>
  <si>
    <t>MT</t>
  </si>
  <si>
    <r>
      <rPr>
        <sz val="10"/>
        <color rgb="FF000000"/>
        <rFont val="Calibri"/>
        <family val="2"/>
        <charset val="1"/>
      </rPr>
      <t>Bridge Weight, B</t>
    </r>
    <r>
      <rPr>
        <vertAlign val="subscript"/>
        <sz val="10"/>
        <color rgb="FF000000"/>
        <rFont val="Calibri"/>
        <family val="2"/>
        <charset val="1"/>
      </rPr>
      <t>w</t>
    </r>
    <r>
      <rPr>
        <sz val="10"/>
        <color rgb="FF000000"/>
        <rFont val="Calibri"/>
        <family val="2"/>
        <charset val="1"/>
      </rPr>
      <t>=</t>
    </r>
  </si>
  <si>
    <r>
      <rPr>
        <sz val="10"/>
        <color rgb="FF000000"/>
        <rFont val="Calibri"/>
        <family val="2"/>
        <charset val="1"/>
      </rPr>
      <t>Crab/Trolly Weight, C</t>
    </r>
    <r>
      <rPr>
        <vertAlign val="subscript"/>
        <sz val="10"/>
        <color rgb="FF000000"/>
        <rFont val="Calibri"/>
        <family val="2"/>
        <charset val="1"/>
      </rPr>
      <t>w</t>
    </r>
    <r>
      <rPr>
        <sz val="10"/>
        <color rgb="FF000000"/>
        <rFont val="Calibri"/>
        <family val="2"/>
        <charset val="1"/>
      </rPr>
      <t>=</t>
    </r>
  </si>
  <si>
    <r>
      <rPr>
        <sz val="10"/>
        <color rgb="FF000000"/>
        <rFont val="Calibri"/>
        <family val="2"/>
        <charset val="1"/>
      </rPr>
      <t>Wheel Base, W</t>
    </r>
    <r>
      <rPr>
        <vertAlign val="subscript"/>
        <sz val="10"/>
        <color rgb="FF000000"/>
        <rFont val="Calibri"/>
        <family val="2"/>
        <charset val="1"/>
      </rPr>
      <t>b</t>
    </r>
    <r>
      <rPr>
        <sz val="10"/>
        <color rgb="FF000000"/>
        <rFont val="Calibri"/>
        <family val="2"/>
        <charset val="1"/>
      </rPr>
      <t>=</t>
    </r>
  </si>
  <si>
    <r>
      <rPr>
        <sz val="10"/>
        <color rgb="FF000000"/>
        <rFont val="Calibri"/>
        <family val="2"/>
        <charset val="1"/>
      </rPr>
      <t>Max Wheel Load 
(Vertical), W</t>
    </r>
    <r>
      <rPr>
        <vertAlign val="subscript"/>
        <sz val="10"/>
        <color rgb="FF000000"/>
        <rFont val="Calibri"/>
        <family val="2"/>
        <charset val="1"/>
      </rPr>
      <t>max</t>
    </r>
    <r>
      <rPr>
        <sz val="10"/>
        <color rgb="FF000000"/>
        <rFont val="Calibri"/>
        <family val="2"/>
        <charset val="1"/>
      </rPr>
      <t>=</t>
    </r>
  </si>
  <si>
    <r>
      <rPr>
        <sz val="10"/>
        <color rgb="FF000000"/>
        <rFont val="Calibri"/>
        <family val="2"/>
        <charset val="1"/>
      </rPr>
      <t>{(B</t>
    </r>
    <r>
      <rPr>
        <vertAlign val="subscript"/>
        <sz val="10"/>
        <color rgb="FF000000"/>
        <rFont val="Calibri"/>
        <family val="2"/>
        <charset val="1"/>
      </rPr>
      <t>w</t>
    </r>
    <r>
      <rPr>
        <sz val="10"/>
        <color rgb="FF000000"/>
        <rFont val="Calibri"/>
        <family val="2"/>
        <charset val="1"/>
      </rPr>
      <t>/2)+C</t>
    </r>
    <r>
      <rPr>
        <vertAlign val="subscript"/>
        <sz val="10"/>
        <color rgb="FF000000"/>
        <rFont val="Calibri"/>
        <family val="2"/>
        <charset val="1"/>
      </rPr>
      <t>w</t>
    </r>
    <r>
      <rPr>
        <sz val="10"/>
        <color rgb="FF000000"/>
        <rFont val="Calibri"/>
        <family val="2"/>
        <charset val="1"/>
      </rPr>
      <t>+L</t>
    </r>
    <r>
      <rPr>
        <vertAlign val="subscript"/>
        <sz val="10"/>
        <color rgb="FF000000"/>
        <rFont val="Calibri"/>
        <family val="2"/>
        <charset val="1"/>
      </rPr>
      <t>c</t>
    </r>
    <r>
      <rPr>
        <sz val="10"/>
        <color rgb="FF000000"/>
        <rFont val="Calibri"/>
        <family val="2"/>
        <charset val="1"/>
      </rPr>
      <t>}/2=</t>
    </r>
  </si>
  <si>
    <t>kN</t>
  </si>
  <si>
    <r>
      <rPr>
        <sz val="10"/>
        <color rgb="FF000000"/>
        <rFont val="Calibri"/>
        <family val="2"/>
        <charset val="1"/>
      </rPr>
      <t>Horizontal Wheel Load 
Transverse to Rails, H</t>
    </r>
    <r>
      <rPr>
        <vertAlign val="subscript"/>
        <sz val="10"/>
        <color rgb="FF000000"/>
        <rFont val="Calibri"/>
        <family val="2"/>
        <charset val="1"/>
      </rPr>
      <t>T</t>
    </r>
    <r>
      <rPr>
        <sz val="10"/>
        <color rgb="FF000000"/>
        <rFont val="Calibri"/>
        <family val="2"/>
        <charset val="1"/>
      </rPr>
      <t>=</t>
    </r>
  </si>
  <si>
    <r>
      <rPr>
        <sz val="10"/>
        <color rgb="FF000000"/>
        <rFont val="Calibri"/>
        <family val="2"/>
        <charset val="1"/>
      </rPr>
      <t>10% of {(L</t>
    </r>
    <r>
      <rPr>
        <vertAlign val="subscript"/>
        <sz val="10"/>
        <color rgb="FF000000"/>
        <rFont val="Calibri"/>
        <family val="2"/>
        <charset val="1"/>
      </rPr>
      <t>c</t>
    </r>
    <r>
      <rPr>
        <sz val="10"/>
        <color rgb="FF000000"/>
        <rFont val="Calibri"/>
        <family val="2"/>
        <charset val="1"/>
      </rPr>
      <t>+C</t>
    </r>
    <r>
      <rPr>
        <vertAlign val="subscript"/>
        <sz val="10"/>
        <color rgb="FF000000"/>
        <rFont val="Calibri"/>
        <family val="2"/>
        <charset val="1"/>
      </rPr>
      <t>w</t>
    </r>
    <r>
      <rPr>
        <sz val="10"/>
        <color rgb="FF000000"/>
        <rFont val="Calibri"/>
        <family val="2"/>
        <charset val="1"/>
      </rPr>
      <t>)/2}=</t>
    </r>
  </si>
  <si>
    <t>IS:875 Part2
Cl. 6.3.2</t>
  </si>
  <si>
    <r>
      <rPr>
        <sz val="10"/>
        <color rgb="FF000000"/>
        <rFont val="Calibri"/>
        <family val="2"/>
        <charset val="1"/>
      </rPr>
      <t>Horizontal Traction Forces
along the Rails, H</t>
    </r>
    <r>
      <rPr>
        <vertAlign val="subscript"/>
        <sz val="10"/>
        <color rgb="FF000000"/>
        <rFont val="Calibri"/>
        <family val="2"/>
        <charset val="1"/>
      </rPr>
      <t>L</t>
    </r>
    <r>
      <rPr>
        <sz val="10"/>
        <color rgb="FF000000"/>
        <rFont val="Calibri"/>
        <family val="2"/>
        <charset val="1"/>
      </rPr>
      <t>=</t>
    </r>
  </si>
  <si>
    <r>
      <rPr>
        <sz val="10"/>
        <color rgb="FF000000"/>
        <rFont val="Calibri"/>
        <family val="2"/>
        <charset val="1"/>
      </rPr>
      <t>5% of (2*W</t>
    </r>
    <r>
      <rPr>
        <vertAlign val="subscript"/>
        <sz val="10"/>
        <color rgb="FF000000"/>
        <rFont val="Calibri"/>
        <family val="2"/>
        <charset val="1"/>
      </rPr>
      <t>max</t>
    </r>
    <r>
      <rPr>
        <sz val="10"/>
        <color rgb="FF000000"/>
        <rFont val="Calibri"/>
        <family val="2"/>
        <charset val="1"/>
      </rPr>
      <t>)=</t>
    </r>
  </si>
  <si>
    <r>
      <rPr>
        <sz val="10"/>
        <color rgb="FF000000"/>
        <rFont val="Calibri"/>
        <family val="2"/>
        <charset val="1"/>
      </rPr>
      <t>Max Reaction on Crane 
Bracket, R</t>
    </r>
    <r>
      <rPr>
        <vertAlign val="subscript"/>
        <sz val="10"/>
        <color rgb="FF000000"/>
        <rFont val="Calibri"/>
        <family val="2"/>
        <charset val="1"/>
      </rPr>
      <t>max</t>
    </r>
    <r>
      <rPr>
        <sz val="10"/>
        <color rgb="FF000000"/>
        <rFont val="Calibri"/>
        <family val="2"/>
        <charset val="1"/>
      </rPr>
      <t>=</t>
    </r>
  </si>
  <si>
    <r>
      <rPr>
        <sz val="10"/>
        <color rgb="FF000000"/>
        <rFont val="Calibri"/>
        <family val="2"/>
        <charset val="1"/>
      </rPr>
      <t>W</t>
    </r>
    <r>
      <rPr>
        <vertAlign val="subscript"/>
        <sz val="10"/>
        <color rgb="FF000000"/>
        <rFont val="Calibri"/>
        <family val="2"/>
        <charset val="1"/>
      </rPr>
      <t>max</t>
    </r>
    <r>
      <rPr>
        <sz val="10"/>
        <color rgb="FF000000"/>
        <rFont val="Calibri"/>
        <family val="2"/>
        <charset val="1"/>
      </rPr>
      <t>+{[W</t>
    </r>
    <r>
      <rPr>
        <vertAlign val="subscript"/>
        <sz val="10"/>
        <color rgb="FF000000"/>
        <rFont val="Calibri"/>
        <family val="2"/>
        <charset val="1"/>
      </rPr>
      <t>max</t>
    </r>
    <r>
      <rPr>
        <sz val="10"/>
        <color rgb="FF000000"/>
        <rFont val="Calibri"/>
        <family val="2"/>
        <charset val="1"/>
      </rPr>
      <t>*(b-W</t>
    </r>
    <r>
      <rPr>
        <vertAlign val="subscript"/>
        <sz val="10"/>
        <color rgb="FF000000"/>
        <rFont val="Calibri"/>
        <family val="2"/>
        <charset val="1"/>
      </rPr>
      <t>b</t>
    </r>
    <r>
      <rPr>
        <sz val="10"/>
        <color rgb="FF000000"/>
        <rFont val="Calibri"/>
        <family val="2"/>
        <charset val="1"/>
      </rPr>
      <t>)]/b}=</t>
    </r>
  </si>
  <si>
    <r>
      <rPr>
        <sz val="10"/>
        <color rgb="FF000000"/>
        <rFont val="Calibri"/>
        <family val="2"/>
        <charset val="1"/>
      </rPr>
      <t>Max Reaction on Crane 
Bracket with Impact, R</t>
    </r>
    <r>
      <rPr>
        <vertAlign val="subscript"/>
        <sz val="10"/>
        <color rgb="FF000000"/>
        <rFont val="Calibri"/>
        <family val="2"/>
        <charset val="1"/>
      </rPr>
      <t>i</t>
    </r>
    <r>
      <rPr>
        <sz val="10"/>
        <color rgb="FF000000"/>
        <rFont val="Calibri"/>
        <family val="2"/>
        <charset val="1"/>
      </rPr>
      <t xml:space="preserve"> </t>
    </r>
    <r>
      <rPr>
        <vertAlign val="subscript"/>
        <sz val="10"/>
        <color rgb="FF000000"/>
        <rFont val="Calibri"/>
        <family val="2"/>
        <charset val="1"/>
      </rPr>
      <t>max</t>
    </r>
    <r>
      <rPr>
        <sz val="10"/>
        <color rgb="FF000000"/>
        <rFont val="Calibri"/>
        <family val="2"/>
        <charset val="1"/>
      </rPr>
      <t>=</t>
    </r>
  </si>
  <si>
    <r>
      <rPr>
        <sz val="10"/>
        <color rgb="FF000000"/>
        <rFont val="Calibri"/>
        <family val="2"/>
        <charset val="1"/>
      </rPr>
      <t>25% of R</t>
    </r>
    <r>
      <rPr>
        <vertAlign val="subscript"/>
        <sz val="10"/>
        <color rgb="FF000000"/>
        <rFont val="Calibri"/>
        <family val="2"/>
        <charset val="1"/>
      </rPr>
      <t>max</t>
    </r>
    <r>
      <rPr>
        <sz val="10"/>
        <color rgb="FF000000"/>
        <rFont val="Calibri"/>
        <family val="2"/>
        <charset val="1"/>
      </rPr>
      <t>=</t>
    </r>
  </si>
  <si>
    <t>For STAAD</t>
  </si>
  <si>
    <r>
      <rPr>
        <sz val="10"/>
        <color rgb="FF000000"/>
        <rFont val="Calibri"/>
        <family val="2"/>
        <charset val="1"/>
      </rPr>
      <t>Min Reaction on Crane 
Bracket, R</t>
    </r>
    <r>
      <rPr>
        <vertAlign val="subscript"/>
        <sz val="10"/>
        <color rgb="FF000000"/>
        <rFont val="Calibri"/>
        <family val="2"/>
        <charset val="1"/>
      </rPr>
      <t>min</t>
    </r>
    <r>
      <rPr>
        <sz val="10"/>
        <color rgb="FF000000"/>
        <rFont val="Calibri"/>
        <family val="2"/>
        <charset val="1"/>
      </rPr>
      <t>=</t>
    </r>
  </si>
  <si>
    <r>
      <rPr>
        <sz val="10"/>
        <color rgb="FF000000"/>
        <rFont val="Calibri"/>
        <family val="2"/>
        <charset val="1"/>
      </rPr>
      <t>40% of R</t>
    </r>
    <r>
      <rPr>
        <vertAlign val="subscript"/>
        <sz val="10"/>
        <color rgb="FF000000"/>
        <rFont val="Calibri"/>
        <family val="2"/>
        <charset val="1"/>
      </rPr>
      <t>i</t>
    </r>
    <r>
      <rPr>
        <sz val="10"/>
        <color rgb="FF000000"/>
        <rFont val="Calibri"/>
        <family val="2"/>
        <charset val="1"/>
      </rPr>
      <t xml:space="preserve"> </t>
    </r>
    <r>
      <rPr>
        <vertAlign val="subscript"/>
        <sz val="10"/>
        <color rgb="FF000000"/>
        <rFont val="Calibri"/>
        <family val="2"/>
        <charset val="1"/>
      </rPr>
      <t>max</t>
    </r>
    <r>
      <rPr>
        <sz val="10"/>
        <color rgb="FF000000"/>
        <rFont val="Calibri"/>
        <family val="2"/>
        <charset val="1"/>
      </rPr>
      <t>=</t>
    </r>
  </si>
  <si>
    <t>Horizontal Thrust on Crane 
Bracket, H=</t>
  </si>
  <si>
    <r>
      <rPr>
        <sz val="10"/>
        <color rgb="FF000000"/>
        <rFont val="Calibri"/>
        <family val="2"/>
        <charset val="1"/>
      </rPr>
      <t>H</t>
    </r>
    <r>
      <rPr>
        <vertAlign val="subscript"/>
        <sz val="10"/>
        <color rgb="FF000000"/>
        <rFont val="Calibri"/>
        <family val="2"/>
        <charset val="1"/>
      </rPr>
      <t>T</t>
    </r>
    <r>
      <rPr>
        <sz val="10"/>
        <color rgb="FF000000"/>
        <rFont val="Calibri"/>
        <family val="2"/>
        <charset val="1"/>
      </rPr>
      <t>+{[H</t>
    </r>
    <r>
      <rPr>
        <vertAlign val="subscript"/>
        <sz val="10"/>
        <color rgb="FF000000"/>
        <rFont val="Calibri"/>
        <family val="2"/>
        <charset val="1"/>
      </rPr>
      <t>T</t>
    </r>
    <r>
      <rPr>
        <sz val="10"/>
        <color rgb="FF000000"/>
        <rFont val="Calibri"/>
        <family val="2"/>
        <charset val="1"/>
      </rPr>
      <t>*(b-W</t>
    </r>
    <r>
      <rPr>
        <vertAlign val="subscript"/>
        <sz val="10"/>
        <color rgb="FF000000"/>
        <rFont val="Calibri"/>
        <family val="2"/>
        <charset val="1"/>
      </rPr>
      <t>b</t>
    </r>
    <r>
      <rPr>
        <sz val="10"/>
        <color rgb="FF000000"/>
        <rFont val="Calibri"/>
        <family val="2"/>
        <charset val="1"/>
      </rPr>
      <t>)]/b}=</t>
    </r>
  </si>
  <si>
    <t>Crane Wheel Base Details</t>
  </si>
  <si>
    <t>Crane Span in Mtr</t>
  </si>
  <si>
    <t>Wheel Base in mm</t>
  </si>
  <si>
    <t>Upto 17.0</t>
  </si>
  <si>
    <t>17.1 to 20.0</t>
  </si>
  <si>
    <t>20.1 to 28.0</t>
  </si>
  <si>
    <t>28.1 to 34.0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</si>
</sst>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vertAlign val="subscript"/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b/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4B183"/>
      </patternFill>
    </fill>
    <fill>
      <patternFill patternType="solid">
        <fgColor rgb="FFC5E0B4"/>
        <bgColor rgb="FFDBDBDB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8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4" fontId="1" fillId="3" borderId="9" xfId="0" applyNumberFormat="1" applyFont="1" applyFill="1" applyBorder="1" applyAlignment="1">
      <alignment horizontal="right" vertical="center"/>
    </xf>
    <xf numFmtId="0" fontId="1" fillId="3" borderId="9" xfId="0" applyFont="1" applyFill="1" applyBorder="1" applyAlignment="1">
      <alignment horizontal="center" vertical="center"/>
    </xf>
    <xf numFmtId="164" fontId="1" fillId="0" borderId="9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164" fontId="1" fillId="3" borderId="13" xfId="0" applyNumberFormat="1" applyFont="1" applyFill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/>
    </xf>
    <xf numFmtId="164" fontId="1" fillId="0" borderId="13" xfId="0" applyNumberFormat="1" applyFont="1" applyBorder="1" applyAlignment="1">
      <alignment horizontal="right" vertical="center"/>
    </xf>
    <xf numFmtId="0" fontId="1" fillId="0" borderId="11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164" fontId="6" fillId="0" borderId="9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164" fontId="6" fillId="0" borderId="13" xfId="0" applyNumberFormat="1" applyFont="1" applyBorder="1" applyAlignment="1">
      <alignment horizontal="right" vertical="center"/>
    </xf>
    <xf numFmtId="0" fontId="6" fillId="0" borderId="13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DC3E6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6</xdr:col>
      <xdr:colOff>551160</xdr:colOff>
      <xdr:row>13</xdr:row>
      <xdr:rowOff>113040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645120" y="380880"/>
          <a:ext cx="3776760" cy="220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600120</xdr:colOff>
      <xdr:row>2</xdr:row>
      <xdr:rowOff>19080</xdr:rowOff>
    </xdr:from>
    <xdr:to>
      <xdr:col>13</xdr:col>
      <xdr:colOff>594000</xdr:colOff>
      <xdr:row>13</xdr:row>
      <xdr:rowOff>169920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5115960" y="399960"/>
          <a:ext cx="3864960" cy="2246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57240</xdr:colOff>
      <xdr:row>16</xdr:row>
      <xdr:rowOff>76320</xdr:rowOff>
    </xdr:from>
    <xdr:to>
      <xdr:col>6</xdr:col>
      <xdr:colOff>583920</xdr:colOff>
      <xdr:row>28</xdr:row>
      <xdr:rowOff>55800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702360" y="3124080"/>
          <a:ext cx="3752280" cy="226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47520</xdr:colOff>
      <xdr:row>16</xdr:row>
      <xdr:rowOff>19080</xdr:rowOff>
    </xdr:from>
    <xdr:to>
      <xdr:col>13</xdr:col>
      <xdr:colOff>598680</xdr:colOff>
      <xdr:row>27</xdr:row>
      <xdr:rowOff>150840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tretch/>
      </xdr:blipFill>
      <xdr:spPr>
        <a:xfrm>
          <a:off x="5208480" y="3066840"/>
          <a:ext cx="3777120" cy="222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38160</xdr:colOff>
      <xdr:row>2</xdr:row>
      <xdr:rowOff>0</xdr:rowOff>
    </xdr:from>
    <xdr:to>
      <xdr:col>21</xdr:col>
      <xdr:colOff>46080</xdr:colOff>
      <xdr:row>13</xdr:row>
      <xdr:rowOff>169920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5"/>
        <a:stretch/>
      </xdr:blipFill>
      <xdr:spPr>
        <a:xfrm>
          <a:off x="9715320" y="380880"/>
          <a:ext cx="3879000" cy="2265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38160</xdr:colOff>
      <xdr:row>2</xdr:row>
      <xdr:rowOff>28440</xdr:rowOff>
    </xdr:from>
    <xdr:to>
      <xdr:col>4</xdr:col>
      <xdr:colOff>570240</xdr:colOff>
      <xdr:row>15</xdr:row>
      <xdr:rowOff>160200</xdr:rowOff>
    </xdr:to>
    <xdr:pic>
      <xdr:nvPicPr>
        <xdr:cNvPr id="5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683280" y="409320"/>
          <a:ext cx="2467440" cy="260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28440</xdr:colOff>
      <xdr:row>2</xdr:row>
      <xdr:rowOff>19080</xdr:rowOff>
    </xdr:from>
    <xdr:to>
      <xdr:col>9</xdr:col>
      <xdr:colOff>560520</xdr:colOff>
      <xdr:row>15</xdr:row>
      <xdr:rowOff>150840</xdr:rowOff>
    </xdr:to>
    <xdr:pic>
      <xdr:nvPicPr>
        <xdr:cNvPr id="6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3899160" y="399960"/>
          <a:ext cx="2467800" cy="260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38160</xdr:colOff>
      <xdr:row>2</xdr:row>
      <xdr:rowOff>28440</xdr:rowOff>
    </xdr:from>
    <xdr:to>
      <xdr:col>14</xdr:col>
      <xdr:colOff>560520</xdr:colOff>
      <xdr:row>15</xdr:row>
      <xdr:rowOff>131760</xdr:rowOff>
    </xdr:to>
    <xdr:pic>
      <xdr:nvPicPr>
        <xdr:cNvPr id="7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7134840" y="409320"/>
          <a:ext cx="2457720" cy="257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57240</xdr:colOff>
      <xdr:row>2</xdr:row>
      <xdr:rowOff>19080</xdr:rowOff>
    </xdr:from>
    <xdr:to>
      <xdr:col>19</xdr:col>
      <xdr:colOff>560520</xdr:colOff>
      <xdr:row>15</xdr:row>
      <xdr:rowOff>179640</xdr:rowOff>
    </xdr:to>
    <xdr:pic>
      <xdr:nvPicPr>
        <xdr:cNvPr id="8" name="Picture 4"/>
        <xdr:cNvPicPr/>
      </xdr:nvPicPr>
      <xdr:blipFill>
        <a:blip xmlns:r="http://schemas.openxmlformats.org/officeDocument/2006/relationships" r:embed="rId4"/>
        <a:stretch/>
      </xdr:blipFill>
      <xdr:spPr>
        <a:xfrm>
          <a:off x="10379520" y="399960"/>
          <a:ext cx="2439000" cy="263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966"/>
  </sheetPr>
  <dimension ref="A1:AMJ136"/>
  <sheetViews>
    <sheetView tabSelected="1" view="pageBreakPreview" zoomScale="60" zoomScaleNormal="110" workbookViewId="0">
      <selection activeCell="J12" sqref="J12"/>
    </sheetView>
  </sheetViews>
  <sheetFormatPr defaultColWidth="9.140625" defaultRowHeight="15" x14ac:dyDescent="0.25"/>
  <cols>
    <col min="1" max="1" width="9.140625" style="15"/>
    <col min="2" max="2" width="23" style="16" customWidth="1"/>
    <col min="3" max="3" width="20.7109375" style="16" customWidth="1"/>
    <col min="4" max="4" width="12" style="17" customWidth="1"/>
    <col min="5" max="5" width="9.140625" style="16"/>
    <col min="6" max="6" width="10.5703125" style="15" customWidth="1"/>
    <col min="7" max="1024" width="9.140625" style="15"/>
  </cols>
  <sheetData>
    <row r="1" spans="2:9" s="18" customFormat="1" ht="15" customHeight="1" x14ac:dyDescent="0.25">
      <c r="B1" s="14" t="s">
        <v>0</v>
      </c>
      <c r="C1" s="14"/>
      <c r="D1" s="14"/>
      <c r="E1" s="14"/>
      <c r="F1" s="14"/>
    </row>
    <row r="2" spans="2:9" s="18" customFormat="1" ht="15" customHeight="1" x14ac:dyDescent="0.25">
      <c r="B2" s="13"/>
      <c r="C2" s="13"/>
      <c r="D2" s="19" t="s">
        <v>1</v>
      </c>
      <c r="E2" s="12">
        <f ca="1">TODAY()</f>
        <v>46092</v>
      </c>
      <c r="F2" s="12"/>
    </row>
    <row r="3" spans="2:9" s="20" customFormat="1" ht="15" customHeight="1" x14ac:dyDescent="0.25">
      <c r="B3" s="21" t="s">
        <v>2</v>
      </c>
      <c r="C3" s="22" t="s">
        <v>3</v>
      </c>
      <c r="D3" s="22" t="s">
        <v>4</v>
      </c>
      <c r="E3" s="22" t="s">
        <v>5</v>
      </c>
      <c r="F3" s="23" t="s">
        <v>6</v>
      </c>
      <c r="H3" s="20" t="s">
        <v>7</v>
      </c>
    </row>
    <row r="4" spans="2:9" ht="15" customHeight="1" x14ac:dyDescent="0.25">
      <c r="B4" s="24" t="s">
        <v>8</v>
      </c>
      <c r="C4" s="25"/>
      <c r="D4" s="26">
        <v>14.71</v>
      </c>
      <c r="E4" s="25" t="s">
        <v>9</v>
      </c>
      <c r="F4" s="11" t="s">
        <v>10</v>
      </c>
      <c r="H4" s="27"/>
      <c r="I4" s="16" t="s">
        <v>11</v>
      </c>
    </row>
    <row r="5" spans="2:9" ht="15" customHeight="1" x14ac:dyDescent="0.25">
      <c r="B5" s="24" t="s">
        <v>12</v>
      </c>
      <c r="C5" s="25"/>
      <c r="D5" s="26">
        <v>7.6</v>
      </c>
      <c r="E5" s="25" t="s">
        <v>9</v>
      </c>
      <c r="F5" s="11"/>
    </row>
    <row r="6" spans="2:9" ht="15" customHeight="1" x14ac:dyDescent="0.25">
      <c r="B6" s="24" t="s">
        <v>13</v>
      </c>
      <c r="C6" s="25"/>
      <c r="D6" s="26">
        <v>9.5</v>
      </c>
      <c r="E6" s="25" t="s">
        <v>9</v>
      </c>
      <c r="F6" s="11"/>
    </row>
    <row r="7" spans="2:9" ht="15" customHeight="1" x14ac:dyDescent="0.25">
      <c r="B7" s="24" t="s">
        <v>14</v>
      </c>
      <c r="C7" s="25"/>
      <c r="D7" s="26">
        <v>3.5</v>
      </c>
      <c r="E7" s="25" t="s">
        <v>9</v>
      </c>
      <c r="F7" s="11"/>
    </row>
    <row r="8" spans="2:9" ht="15" customHeight="1" x14ac:dyDescent="0.25">
      <c r="B8" s="24" t="s">
        <v>15</v>
      </c>
      <c r="C8" s="25"/>
      <c r="D8" s="26">
        <v>7</v>
      </c>
      <c r="E8" s="25" t="s">
        <v>9</v>
      </c>
      <c r="F8" s="11"/>
    </row>
    <row r="9" spans="2:9" ht="15" customHeight="1" x14ac:dyDescent="0.25">
      <c r="B9" s="24"/>
      <c r="C9" s="25"/>
      <c r="D9" s="28"/>
      <c r="E9" s="25"/>
      <c r="F9" s="29"/>
    </row>
    <row r="10" spans="2:9" ht="15" customHeight="1" x14ac:dyDescent="0.25">
      <c r="B10" s="10" t="s">
        <v>16</v>
      </c>
      <c r="C10" s="9"/>
      <c r="D10" s="8" t="s">
        <v>17</v>
      </c>
      <c r="E10" s="7"/>
      <c r="F10" s="6" t="s">
        <v>18</v>
      </c>
    </row>
    <row r="11" spans="2:9" ht="15" customHeight="1" x14ac:dyDescent="0.25">
      <c r="B11" s="10"/>
      <c r="C11" s="9"/>
      <c r="D11" s="8"/>
      <c r="E11" s="7"/>
      <c r="F11" s="6"/>
    </row>
    <row r="12" spans="2:9" ht="15" customHeight="1" x14ac:dyDescent="0.25">
      <c r="B12" s="24" t="s">
        <v>19</v>
      </c>
      <c r="C12" s="25"/>
      <c r="D12" s="26">
        <v>10</v>
      </c>
      <c r="E12" s="25" t="s">
        <v>20</v>
      </c>
      <c r="F12" s="6"/>
    </row>
    <row r="13" spans="2:9" ht="15" customHeight="1" x14ac:dyDescent="0.25">
      <c r="B13" s="24" t="s">
        <v>21</v>
      </c>
      <c r="C13" s="25"/>
      <c r="D13" s="26">
        <v>5.2</v>
      </c>
      <c r="E13" s="25" t="s">
        <v>20</v>
      </c>
      <c r="F13" s="6"/>
    </row>
    <row r="14" spans="2:9" ht="15" customHeight="1" x14ac:dyDescent="0.25">
      <c r="B14" s="24" t="s">
        <v>22</v>
      </c>
      <c r="C14" s="25"/>
      <c r="D14" s="26">
        <v>1.2</v>
      </c>
      <c r="E14" s="25" t="s">
        <v>20</v>
      </c>
      <c r="F14" s="6"/>
    </row>
    <row r="15" spans="2:9" ht="15" customHeight="1" x14ac:dyDescent="0.25">
      <c r="B15" s="30" t="s">
        <v>23</v>
      </c>
      <c r="C15" s="31"/>
      <c r="D15" s="32">
        <v>2.5</v>
      </c>
      <c r="E15" s="31" t="s">
        <v>9</v>
      </c>
      <c r="F15" s="6"/>
    </row>
    <row r="16" spans="2:9" ht="15" customHeight="1" x14ac:dyDescent="0.25">
      <c r="B16" s="5"/>
      <c r="C16" s="5"/>
      <c r="D16" s="5"/>
      <c r="E16" s="5"/>
      <c r="F16" s="5"/>
    </row>
    <row r="17" spans="2:6" ht="15" customHeight="1" x14ac:dyDescent="0.25">
      <c r="B17" s="4" t="s">
        <v>24</v>
      </c>
      <c r="C17" s="3" t="s">
        <v>25</v>
      </c>
      <c r="D17" s="33">
        <f>((D13/2)+D14+D12)/2</f>
        <v>6.9</v>
      </c>
      <c r="E17" s="34" t="s">
        <v>20</v>
      </c>
      <c r="F17" s="2"/>
    </row>
    <row r="18" spans="2:6" ht="15" customHeight="1" x14ac:dyDescent="0.25">
      <c r="B18" s="4"/>
      <c r="C18" s="3"/>
      <c r="D18" s="28">
        <f>D17*9.807</f>
        <v>67.668300000000002</v>
      </c>
      <c r="E18" s="25" t="s">
        <v>26</v>
      </c>
      <c r="F18" s="2"/>
    </row>
    <row r="19" spans="2:6" ht="15" customHeight="1" x14ac:dyDescent="0.25">
      <c r="B19" s="1" t="s">
        <v>27</v>
      </c>
      <c r="C19" s="9" t="s">
        <v>28</v>
      </c>
      <c r="D19" s="28">
        <f>10%*((D12+D14)/2)</f>
        <v>0.55999999999999994</v>
      </c>
      <c r="E19" s="25" t="s">
        <v>20</v>
      </c>
      <c r="F19" s="11" t="s">
        <v>29</v>
      </c>
    </row>
    <row r="20" spans="2:6" ht="15" customHeight="1" x14ac:dyDescent="0.25">
      <c r="B20" s="1"/>
      <c r="C20" s="9"/>
      <c r="D20" s="28">
        <f>D19*9.807</f>
        <v>5.4919199999999995</v>
      </c>
      <c r="E20" s="25" t="s">
        <v>26</v>
      </c>
      <c r="F20" s="11"/>
    </row>
    <row r="21" spans="2:6" ht="15" customHeight="1" x14ac:dyDescent="0.25">
      <c r="B21" s="43" t="s">
        <v>30</v>
      </c>
      <c r="C21" s="44" t="s">
        <v>31</v>
      </c>
      <c r="D21" s="28">
        <f>5%*(2*D17)</f>
        <v>0.69000000000000006</v>
      </c>
      <c r="E21" s="25" t="s">
        <v>20</v>
      </c>
      <c r="F21" s="6" t="s">
        <v>29</v>
      </c>
    </row>
    <row r="22" spans="2:6" ht="15" customHeight="1" x14ac:dyDescent="0.25">
      <c r="B22" s="43"/>
      <c r="C22" s="44"/>
      <c r="D22" s="35">
        <f>D21*9.807</f>
        <v>6.7668300000000006</v>
      </c>
      <c r="E22" s="31" t="s">
        <v>26</v>
      </c>
      <c r="F22" s="6"/>
    </row>
    <row r="23" spans="2:6" ht="15" customHeight="1" x14ac:dyDescent="0.25">
      <c r="B23" s="45"/>
      <c r="C23" s="45"/>
      <c r="D23" s="45"/>
      <c r="E23" s="45"/>
      <c r="F23" s="45"/>
    </row>
    <row r="24" spans="2:6" ht="15" customHeight="1" x14ac:dyDescent="0.25">
      <c r="B24" s="4" t="s">
        <v>32</v>
      </c>
      <c r="C24" s="3" t="s">
        <v>33</v>
      </c>
      <c r="D24" s="46">
        <f>D18+((D18*(D7-D15))/D7)</f>
        <v>87.002099999999999</v>
      </c>
      <c r="E24" s="47" t="s">
        <v>26</v>
      </c>
      <c r="F24" s="2"/>
    </row>
    <row r="25" spans="2:6" ht="15" customHeight="1" x14ac:dyDescent="0.25">
      <c r="B25" s="4"/>
      <c r="C25" s="3"/>
      <c r="D25" s="46"/>
      <c r="E25" s="47"/>
      <c r="F25" s="2"/>
    </row>
    <row r="26" spans="2:6" ht="15" customHeight="1" x14ac:dyDescent="0.25">
      <c r="B26" s="1" t="s">
        <v>34</v>
      </c>
      <c r="C26" s="48" t="s">
        <v>35</v>
      </c>
      <c r="D26" s="49">
        <f>1.25*D24</f>
        <v>108.75262499999999</v>
      </c>
      <c r="E26" s="50" t="s">
        <v>26</v>
      </c>
      <c r="F26" s="51" t="s">
        <v>36</v>
      </c>
    </row>
    <row r="27" spans="2:6" ht="15" customHeight="1" x14ac:dyDescent="0.25">
      <c r="B27" s="1"/>
      <c r="C27" s="48"/>
      <c r="D27" s="49"/>
      <c r="E27" s="50"/>
      <c r="F27" s="51"/>
    </row>
    <row r="28" spans="2:6" ht="15" customHeight="1" x14ac:dyDescent="0.25">
      <c r="B28" s="43" t="s">
        <v>37</v>
      </c>
      <c r="C28" s="52" t="s">
        <v>38</v>
      </c>
      <c r="D28" s="53">
        <f>40%*D24</f>
        <v>34.800840000000001</v>
      </c>
      <c r="E28" s="54" t="s">
        <v>26</v>
      </c>
      <c r="F28" s="55" t="s">
        <v>36</v>
      </c>
    </row>
    <row r="29" spans="2:6" ht="15" customHeight="1" x14ac:dyDescent="0.25">
      <c r="B29" s="43"/>
      <c r="C29" s="52"/>
      <c r="D29" s="53"/>
      <c r="E29" s="54"/>
      <c r="F29" s="55"/>
    </row>
    <row r="30" spans="2:6" ht="15" customHeight="1" x14ac:dyDescent="0.25">
      <c r="B30" s="45"/>
      <c r="C30" s="45"/>
      <c r="D30" s="45"/>
      <c r="E30" s="45"/>
      <c r="F30" s="45"/>
    </row>
    <row r="31" spans="2:6" ht="15" customHeight="1" x14ac:dyDescent="0.25">
      <c r="B31" s="56" t="s">
        <v>39</v>
      </c>
      <c r="C31" s="57" t="s">
        <v>40</v>
      </c>
      <c r="D31" s="58">
        <f>D20+((D20*(D7-D15))/D7)</f>
        <v>7.0610399999999993</v>
      </c>
      <c r="E31" s="59" t="s">
        <v>26</v>
      </c>
      <c r="F31" s="60" t="s">
        <v>36</v>
      </c>
    </row>
    <row r="32" spans="2:6" ht="15" customHeight="1" x14ac:dyDescent="0.25">
      <c r="B32" s="56"/>
      <c r="C32" s="57"/>
      <c r="D32" s="58"/>
      <c r="E32" s="59"/>
      <c r="F32" s="60"/>
    </row>
    <row r="33" spans="4:4" ht="15" customHeight="1" x14ac:dyDescent="0.25">
      <c r="D33" s="37"/>
    </row>
    <row r="34" spans="4:4" ht="15" customHeight="1" x14ac:dyDescent="0.25">
      <c r="D34" s="37"/>
    </row>
    <row r="35" spans="4:4" ht="15" customHeight="1" x14ac:dyDescent="0.25">
      <c r="D35" s="37"/>
    </row>
    <row r="36" spans="4:4" ht="15" customHeight="1" x14ac:dyDescent="0.25">
      <c r="D36" s="37"/>
    </row>
    <row r="37" spans="4:4" ht="15" customHeight="1" x14ac:dyDescent="0.25">
      <c r="D37" s="37"/>
    </row>
    <row r="38" spans="4:4" ht="15" customHeight="1" x14ac:dyDescent="0.25">
      <c r="D38" s="37"/>
    </row>
    <row r="39" spans="4:4" ht="15" customHeight="1" x14ac:dyDescent="0.25">
      <c r="D39" s="37"/>
    </row>
    <row r="40" spans="4:4" ht="15" customHeight="1" x14ac:dyDescent="0.25">
      <c r="D40" s="37"/>
    </row>
    <row r="41" spans="4:4" ht="15" customHeight="1" x14ac:dyDescent="0.25">
      <c r="D41" s="37"/>
    </row>
    <row r="42" spans="4:4" ht="15" customHeight="1" x14ac:dyDescent="0.25">
      <c r="D42" s="37"/>
    </row>
    <row r="43" spans="4:4" ht="15" customHeight="1" x14ac:dyDescent="0.25">
      <c r="D43" s="37"/>
    </row>
    <row r="44" spans="4:4" ht="15" customHeight="1" x14ac:dyDescent="0.25">
      <c r="D44" s="37"/>
    </row>
    <row r="45" spans="4:4" ht="15" customHeight="1" x14ac:dyDescent="0.25">
      <c r="D45" s="37"/>
    </row>
    <row r="46" spans="4:4" ht="15" customHeight="1" x14ac:dyDescent="0.25">
      <c r="D46" s="37"/>
    </row>
    <row r="47" spans="4:4" ht="15" customHeight="1" x14ac:dyDescent="0.25">
      <c r="D47" s="37"/>
    </row>
    <row r="48" spans="4:4" ht="15" customHeight="1" x14ac:dyDescent="0.25">
      <c r="D48" s="37"/>
    </row>
    <row r="49" spans="4:4" ht="15" customHeight="1" x14ac:dyDescent="0.25">
      <c r="D49" s="37"/>
    </row>
    <row r="50" spans="4:4" ht="15" customHeight="1" x14ac:dyDescent="0.25">
      <c r="D50" s="37"/>
    </row>
    <row r="51" spans="4:4" ht="15" customHeight="1" x14ac:dyDescent="0.25">
      <c r="D51" s="37"/>
    </row>
    <row r="52" spans="4:4" ht="15" customHeight="1" x14ac:dyDescent="0.25">
      <c r="D52" s="37"/>
    </row>
    <row r="53" spans="4:4" ht="15" customHeight="1" x14ac:dyDescent="0.25">
      <c r="D53" s="37"/>
    </row>
    <row r="54" spans="4:4" ht="15" customHeight="1" x14ac:dyDescent="0.25">
      <c r="D54" s="37"/>
    </row>
    <row r="55" spans="4:4" ht="15" customHeight="1" x14ac:dyDescent="0.25">
      <c r="D55" s="37"/>
    </row>
    <row r="56" spans="4:4" ht="15" customHeight="1" x14ac:dyDescent="0.25">
      <c r="D56" s="37"/>
    </row>
    <row r="57" spans="4:4" ht="15" customHeight="1" x14ac:dyDescent="0.25">
      <c r="D57" s="37"/>
    </row>
    <row r="58" spans="4:4" ht="15" customHeight="1" x14ac:dyDescent="0.25">
      <c r="D58" s="37"/>
    </row>
    <row r="59" spans="4:4" ht="15" customHeight="1" x14ac:dyDescent="0.25">
      <c r="D59" s="37"/>
    </row>
    <row r="60" spans="4:4" ht="15" customHeight="1" x14ac:dyDescent="0.25">
      <c r="D60" s="37"/>
    </row>
    <row r="61" spans="4:4" ht="15" customHeight="1" x14ac:dyDescent="0.25">
      <c r="D61" s="37"/>
    </row>
    <row r="62" spans="4:4" ht="15" customHeight="1" x14ac:dyDescent="0.25">
      <c r="D62" s="37"/>
    </row>
    <row r="63" spans="4:4" ht="15" customHeight="1" x14ac:dyDescent="0.25">
      <c r="D63" s="37"/>
    </row>
    <row r="64" spans="4:4" ht="15" customHeight="1" x14ac:dyDescent="0.25">
      <c r="D64" s="37"/>
    </row>
    <row r="65" spans="4:4" ht="15" customHeight="1" x14ac:dyDescent="0.25">
      <c r="D65" s="37"/>
    </row>
    <row r="66" spans="4:4" ht="15" customHeight="1" x14ac:dyDescent="0.25">
      <c r="D66" s="37"/>
    </row>
    <row r="67" spans="4:4" ht="15" customHeight="1" x14ac:dyDescent="0.25">
      <c r="D67" s="37"/>
    </row>
    <row r="68" spans="4:4" ht="15" customHeight="1" x14ac:dyDescent="0.25">
      <c r="D68" s="37"/>
    </row>
    <row r="69" spans="4:4" ht="15" customHeight="1" x14ac:dyDescent="0.25">
      <c r="D69" s="37"/>
    </row>
    <row r="70" spans="4:4" ht="15" customHeight="1" x14ac:dyDescent="0.25">
      <c r="D70" s="37"/>
    </row>
    <row r="71" spans="4:4" ht="15" customHeight="1" x14ac:dyDescent="0.25">
      <c r="D71" s="37"/>
    </row>
    <row r="72" spans="4:4" ht="15" customHeight="1" x14ac:dyDescent="0.25">
      <c r="D72" s="37"/>
    </row>
    <row r="73" spans="4:4" ht="15" customHeight="1" x14ac:dyDescent="0.25">
      <c r="D73" s="37"/>
    </row>
    <row r="74" spans="4:4" ht="15" customHeight="1" x14ac:dyDescent="0.25">
      <c r="D74" s="37"/>
    </row>
    <row r="75" spans="4:4" ht="15" customHeight="1" x14ac:dyDescent="0.25">
      <c r="D75" s="37"/>
    </row>
    <row r="76" spans="4:4" ht="15" customHeight="1" x14ac:dyDescent="0.25">
      <c r="D76" s="37"/>
    </row>
    <row r="77" spans="4:4" ht="15" customHeight="1" x14ac:dyDescent="0.25">
      <c r="D77" s="37"/>
    </row>
    <row r="78" spans="4:4" ht="15" customHeight="1" x14ac:dyDescent="0.25">
      <c r="D78" s="37"/>
    </row>
    <row r="79" spans="4:4" ht="15" customHeight="1" x14ac:dyDescent="0.25">
      <c r="D79" s="37"/>
    </row>
    <row r="80" spans="4:4" ht="15" customHeight="1" x14ac:dyDescent="0.25">
      <c r="D80" s="37"/>
    </row>
    <row r="81" spans="4:4" ht="15" customHeight="1" x14ac:dyDescent="0.25">
      <c r="D81" s="37"/>
    </row>
    <row r="82" spans="4:4" ht="15" customHeight="1" x14ac:dyDescent="0.25">
      <c r="D82" s="37"/>
    </row>
    <row r="83" spans="4:4" ht="15" customHeight="1" x14ac:dyDescent="0.25">
      <c r="D83" s="37"/>
    </row>
    <row r="84" spans="4:4" ht="15" customHeight="1" x14ac:dyDescent="0.25">
      <c r="D84" s="37"/>
    </row>
    <row r="85" spans="4:4" ht="15" customHeight="1" x14ac:dyDescent="0.25">
      <c r="D85" s="37"/>
    </row>
    <row r="86" spans="4:4" ht="15" customHeight="1" x14ac:dyDescent="0.25">
      <c r="D86" s="37"/>
    </row>
    <row r="87" spans="4:4" ht="15" customHeight="1" x14ac:dyDescent="0.25">
      <c r="D87" s="37"/>
    </row>
    <row r="88" spans="4:4" ht="15" customHeight="1" x14ac:dyDescent="0.25">
      <c r="D88" s="37"/>
    </row>
    <row r="89" spans="4:4" ht="15" customHeight="1" x14ac:dyDescent="0.25">
      <c r="D89" s="37"/>
    </row>
    <row r="90" spans="4:4" ht="15" customHeight="1" x14ac:dyDescent="0.25">
      <c r="D90" s="37"/>
    </row>
    <row r="91" spans="4:4" ht="15" customHeight="1" x14ac:dyDescent="0.25">
      <c r="D91" s="37"/>
    </row>
    <row r="92" spans="4:4" ht="15" customHeight="1" x14ac:dyDescent="0.25">
      <c r="D92" s="37"/>
    </row>
    <row r="93" spans="4:4" ht="15" customHeight="1" x14ac:dyDescent="0.25">
      <c r="D93" s="37"/>
    </row>
    <row r="94" spans="4:4" ht="15" customHeight="1" x14ac:dyDescent="0.25">
      <c r="D94" s="37"/>
    </row>
    <row r="95" spans="4:4" ht="15" customHeight="1" x14ac:dyDescent="0.25">
      <c r="D95" s="37"/>
    </row>
    <row r="96" spans="4:4" ht="15" customHeight="1" x14ac:dyDescent="0.25">
      <c r="D96" s="37"/>
    </row>
    <row r="97" spans="4:4" ht="15" customHeight="1" x14ac:dyDescent="0.25">
      <c r="D97" s="37"/>
    </row>
    <row r="98" spans="4:4" ht="15" customHeight="1" x14ac:dyDescent="0.25">
      <c r="D98" s="37"/>
    </row>
    <row r="99" spans="4:4" ht="15" customHeight="1" x14ac:dyDescent="0.25">
      <c r="D99" s="37"/>
    </row>
    <row r="100" spans="4:4" ht="15" customHeight="1" x14ac:dyDescent="0.25">
      <c r="D100" s="37"/>
    </row>
    <row r="101" spans="4:4" ht="15" customHeight="1" x14ac:dyDescent="0.25">
      <c r="D101" s="37"/>
    </row>
    <row r="102" spans="4:4" ht="15" customHeight="1" x14ac:dyDescent="0.25">
      <c r="D102" s="37"/>
    </row>
    <row r="103" spans="4:4" ht="15" customHeight="1" x14ac:dyDescent="0.25">
      <c r="D103" s="37"/>
    </row>
    <row r="104" spans="4:4" ht="15" customHeight="1" x14ac:dyDescent="0.25">
      <c r="D104" s="37"/>
    </row>
    <row r="105" spans="4:4" ht="15" customHeight="1" x14ac:dyDescent="0.25">
      <c r="D105" s="37"/>
    </row>
    <row r="106" spans="4:4" ht="15" customHeight="1" x14ac:dyDescent="0.25">
      <c r="D106" s="37"/>
    </row>
    <row r="107" spans="4:4" ht="15" customHeight="1" x14ac:dyDescent="0.25">
      <c r="D107" s="37"/>
    </row>
    <row r="108" spans="4:4" ht="15" customHeight="1" x14ac:dyDescent="0.25">
      <c r="D108" s="37"/>
    </row>
    <row r="109" spans="4:4" ht="15" customHeight="1" x14ac:dyDescent="0.25">
      <c r="D109" s="37"/>
    </row>
    <row r="110" spans="4:4" ht="15" customHeight="1" x14ac:dyDescent="0.25">
      <c r="D110" s="37"/>
    </row>
    <row r="111" spans="4:4" ht="15" customHeight="1" x14ac:dyDescent="0.25">
      <c r="D111" s="37"/>
    </row>
    <row r="112" spans="4:4" ht="15" customHeight="1" x14ac:dyDescent="0.25">
      <c r="D112" s="37"/>
    </row>
    <row r="113" spans="4:4" ht="15" customHeight="1" x14ac:dyDescent="0.25">
      <c r="D113" s="37"/>
    </row>
    <row r="114" spans="4:4" ht="15" customHeight="1" x14ac:dyDescent="0.25">
      <c r="D114" s="37"/>
    </row>
    <row r="115" spans="4:4" ht="15" customHeight="1" x14ac:dyDescent="0.25">
      <c r="D115" s="37"/>
    </row>
    <row r="116" spans="4:4" ht="15" customHeight="1" x14ac:dyDescent="0.25">
      <c r="D116" s="37"/>
    </row>
    <row r="117" spans="4:4" ht="15" customHeight="1" x14ac:dyDescent="0.25">
      <c r="D117" s="37"/>
    </row>
    <row r="118" spans="4:4" ht="15" customHeight="1" x14ac:dyDescent="0.25">
      <c r="D118" s="37"/>
    </row>
    <row r="119" spans="4:4" ht="15" customHeight="1" x14ac:dyDescent="0.25">
      <c r="D119" s="37"/>
    </row>
    <row r="120" spans="4:4" ht="15" customHeight="1" x14ac:dyDescent="0.25">
      <c r="D120" s="37"/>
    </row>
    <row r="121" spans="4:4" ht="15" customHeight="1" x14ac:dyDescent="0.25">
      <c r="D121" s="37"/>
    </row>
    <row r="122" spans="4:4" ht="15" customHeight="1" x14ac:dyDescent="0.25">
      <c r="D122" s="37"/>
    </row>
    <row r="123" spans="4:4" ht="15" customHeight="1" x14ac:dyDescent="0.25">
      <c r="D123" s="37"/>
    </row>
    <row r="124" spans="4:4" ht="15" customHeight="1" x14ac:dyDescent="0.25">
      <c r="D124" s="37"/>
    </row>
    <row r="125" spans="4:4" ht="15" customHeight="1" x14ac:dyDescent="0.25">
      <c r="D125" s="37"/>
    </row>
    <row r="126" spans="4:4" ht="15" customHeight="1" x14ac:dyDescent="0.25">
      <c r="D126" s="37"/>
    </row>
    <row r="127" spans="4:4" ht="15" customHeight="1" x14ac:dyDescent="0.25">
      <c r="D127" s="37"/>
    </row>
    <row r="128" spans="4:4" ht="15" customHeight="1" x14ac:dyDescent="0.25">
      <c r="D128" s="37"/>
    </row>
    <row r="129" spans="4:4" ht="15" customHeight="1" x14ac:dyDescent="0.25">
      <c r="D129" s="37"/>
    </row>
    <row r="130" spans="4:4" ht="15" customHeight="1" x14ac:dyDescent="0.25">
      <c r="D130" s="37"/>
    </row>
    <row r="131" spans="4:4" ht="15" customHeight="1" x14ac:dyDescent="0.25">
      <c r="D131" s="37"/>
    </row>
    <row r="132" spans="4:4" ht="15" customHeight="1" x14ac:dyDescent="0.25">
      <c r="D132" s="37"/>
    </row>
    <row r="133" spans="4:4" ht="15" customHeight="1" x14ac:dyDescent="0.25">
      <c r="D133" s="37"/>
    </row>
    <row r="134" spans="4:4" ht="15" customHeight="1" x14ac:dyDescent="0.25">
      <c r="D134" s="37"/>
    </row>
    <row r="135" spans="4:4" ht="15" customHeight="1" x14ac:dyDescent="0.25">
      <c r="D135" s="37"/>
    </row>
    <row r="136" spans="4:4" ht="15" customHeight="1" x14ac:dyDescent="0.25">
      <c r="D136" s="37"/>
    </row>
  </sheetData>
  <mergeCells count="41">
    <mergeCell ref="B30:F30"/>
    <mergeCell ref="B31:B32"/>
    <mergeCell ref="C31:C32"/>
    <mergeCell ref="D31:D32"/>
    <mergeCell ref="E31:E32"/>
    <mergeCell ref="F31:F32"/>
    <mergeCell ref="B28:B29"/>
    <mergeCell ref="C28:C29"/>
    <mergeCell ref="D28:D29"/>
    <mergeCell ref="E28:E29"/>
    <mergeCell ref="F28:F29"/>
    <mergeCell ref="B26:B27"/>
    <mergeCell ref="C26:C27"/>
    <mergeCell ref="D26:D27"/>
    <mergeCell ref="E26:E27"/>
    <mergeCell ref="F26:F27"/>
    <mergeCell ref="B21:B22"/>
    <mergeCell ref="C21:C22"/>
    <mergeCell ref="F21:F22"/>
    <mergeCell ref="B23:F23"/>
    <mergeCell ref="B24:B25"/>
    <mergeCell ref="C24:C25"/>
    <mergeCell ref="D24:D25"/>
    <mergeCell ref="E24:E25"/>
    <mergeCell ref="F24:F25"/>
    <mergeCell ref="B16:F16"/>
    <mergeCell ref="B17:B18"/>
    <mergeCell ref="C17:C18"/>
    <mergeCell ref="F17:F18"/>
    <mergeCell ref="B19:B20"/>
    <mergeCell ref="C19:C20"/>
    <mergeCell ref="F19:F20"/>
    <mergeCell ref="B1:F1"/>
    <mergeCell ref="B2:C2"/>
    <mergeCell ref="E2:F2"/>
    <mergeCell ref="F4:F8"/>
    <mergeCell ref="B10:B11"/>
    <mergeCell ref="C10:C11"/>
    <mergeCell ref="D10:D11"/>
    <mergeCell ref="E10:E11"/>
    <mergeCell ref="F10:F15"/>
  </mergeCells>
  <pageMargins left="0.7" right="0.7" top="0.75" bottom="0.75" header="0.51180555555555496" footer="0.51180555555555496"/>
  <pageSetup paperSize="9" scale="96" firstPageNumber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C3E6"/>
  </sheetPr>
  <dimension ref="A1:AMJ6"/>
  <sheetViews>
    <sheetView zoomScale="110" zoomScaleNormal="110" workbookViewId="0">
      <selection activeCell="D13" sqref="D13"/>
    </sheetView>
  </sheetViews>
  <sheetFormatPr defaultColWidth="9.140625" defaultRowHeight="15" x14ac:dyDescent="0.25"/>
  <cols>
    <col min="1" max="1" width="15.140625" style="15" customWidth="1"/>
    <col min="2" max="2" width="15.7109375" style="15" customWidth="1"/>
    <col min="3" max="1024" width="9.140625" style="15"/>
  </cols>
  <sheetData>
    <row r="1" spans="1:2" s="20" customFormat="1" ht="15" customHeight="1" x14ac:dyDescent="0.25">
      <c r="A1" s="61" t="s">
        <v>41</v>
      </c>
      <c r="B1" s="61"/>
    </row>
    <row r="2" spans="1:2" s="40" customFormat="1" ht="15" customHeight="1" x14ac:dyDescent="0.25">
      <c r="A2" s="38" t="s">
        <v>42</v>
      </c>
      <c r="B2" s="39" t="s">
        <v>43</v>
      </c>
    </row>
    <row r="3" spans="1:2" ht="15" customHeight="1" x14ac:dyDescent="0.25">
      <c r="A3" s="41" t="s">
        <v>44</v>
      </c>
      <c r="B3" s="29">
        <v>2500</v>
      </c>
    </row>
    <row r="4" spans="1:2" ht="15" customHeight="1" x14ac:dyDescent="0.25">
      <c r="A4" s="41" t="s">
        <v>45</v>
      </c>
      <c r="B4" s="29">
        <v>3150</v>
      </c>
    </row>
    <row r="5" spans="1:2" ht="15" customHeight="1" x14ac:dyDescent="0.25">
      <c r="A5" s="41" t="s">
        <v>46</v>
      </c>
      <c r="B5" s="29">
        <v>4000</v>
      </c>
    </row>
    <row r="6" spans="1:2" ht="15" customHeight="1" x14ac:dyDescent="0.25">
      <c r="A6" s="42" t="s">
        <v>47</v>
      </c>
      <c r="B6" s="36">
        <v>5000</v>
      </c>
    </row>
  </sheetData>
  <mergeCells count="1">
    <mergeCell ref="A1:B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9D18E"/>
  </sheetPr>
  <dimension ref="A1:AMJ1"/>
  <sheetViews>
    <sheetView zoomScale="110" zoomScaleNormal="110" workbookViewId="0"/>
  </sheetViews>
  <sheetFormatPr defaultColWidth="9.140625" defaultRowHeight="15" x14ac:dyDescent="0.25"/>
  <cols>
    <col min="1" max="1024" width="9.140625" style="15"/>
  </cols>
  <sheetData/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183"/>
  </sheetPr>
  <dimension ref="A1:AMJ1"/>
  <sheetViews>
    <sheetView zoomScale="110" zoomScaleNormal="110" workbookViewId="0">
      <selection activeCell="J29" sqref="J29"/>
    </sheetView>
  </sheetViews>
  <sheetFormatPr defaultColWidth="9.140625" defaultRowHeight="15" x14ac:dyDescent="0.25"/>
  <cols>
    <col min="1" max="1024" width="9.140625" style="15"/>
  </cols>
  <sheetData/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BDBDB"/>
  </sheetPr>
  <dimension ref="A1:AMJ1"/>
  <sheetViews>
    <sheetView zoomScale="110" zoomScaleNormal="110" workbookViewId="0"/>
  </sheetViews>
  <sheetFormatPr defaultColWidth="9.140625" defaultRowHeight="15" x14ac:dyDescent="0.25"/>
  <cols>
    <col min="1" max="1024" width="9.140625" style="15"/>
  </cols>
  <sheetData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EOT Crane Load Calculations</vt:lpstr>
      <vt:lpstr>Crane Wheel Base</vt:lpstr>
      <vt:lpstr>Notes</vt:lpstr>
      <vt:lpstr>Load Cases</vt:lpstr>
      <vt:lpstr>Sheet1</vt:lpstr>
      <vt:lpstr>'EOT Crane Load Calculations'!Print_Area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Waseem M Azmath</dc:creator>
  <dc:description/>
  <cp:lastModifiedBy>Design</cp:lastModifiedBy>
  <cp:revision>4</cp:revision>
  <cp:lastPrinted>2026-03-11T05:14:15Z</cp:lastPrinted>
  <dcterms:created xsi:type="dcterms:W3CDTF">2022-04-17T14:48:31Z</dcterms:created>
  <dcterms:modified xsi:type="dcterms:W3CDTF">2026-03-11T05:14:19Z</dcterms:modified>
  <dc:language>en-IN</dc:language>
</cp:coreProperties>
</file>