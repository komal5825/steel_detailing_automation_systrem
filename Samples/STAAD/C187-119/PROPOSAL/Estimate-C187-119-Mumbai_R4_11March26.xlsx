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dia/image11.png" ContentType="image/png"/>
  <Override PartName="/xl/media/image12.png" ContentType="image/pn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B-Estimates" sheetId="1" state="visible" r:id="rId2"/>
    <sheet name="PEB-Estimates-Mezz" sheetId="2" state="hidden" r:id="rId3"/>
  </sheets>
  <definedNames>
    <definedName function="false" hidden="true" localSheetId="0" name="_xlnm._FilterDatabase" vbProcedure="false">'PEB-Estimates'!$C$10:$E$69</definedName>
    <definedName function="false" hidden="true" localSheetId="1" name="_xlnm._FilterDatabase" vbProcedure="false">'PEB-Estimates-Mezz'!$C$10:$E$69</definedName>
    <definedName function="false" hidden="false" name="__xlfn_IFERROR" vbProcedure="false">NA()</definedName>
    <definedName function="false" hidden="false" name="___xlfn_IFERROR" vbProcedure="false">NA()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43" authorId="0">
      <text>
        <r>
          <rPr>
            <sz val="11"/>
            <color rgb="FF000000"/>
            <rFont val="Calibri"/>
            <family val="2"/>
            <charset val="1"/>
          </rPr>
          <t xml:space="preserve">Design:
</t>
        </r>
        <r>
          <rPr>
            <sz val="9"/>
            <color rgb="FF000000"/>
            <rFont val="Tahoma"/>
            <family val="2"/>
            <charset val="1"/>
          </rPr>
          <t xml:space="preserve">Coil width of 1220 mm considered.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43" authorId="0">
      <text>
        <r>
          <rPr>
            <sz val="11"/>
            <color rgb="FF000000"/>
            <rFont val="Calibri"/>
            <family val="2"/>
            <charset val="1"/>
          </rPr>
          <t xml:space="preserve">Design:
</t>
        </r>
        <r>
          <rPr>
            <sz val="9"/>
            <color rgb="FF000000"/>
            <rFont val="Tahoma"/>
            <family val="2"/>
            <charset val="1"/>
          </rPr>
          <t xml:space="preserve">Coil width of 1220 mm considered.</t>
        </r>
      </text>
    </comment>
  </commentList>
</comments>
</file>

<file path=xl/sharedStrings.xml><?xml version="1.0" encoding="utf-8"?>
<sst xmlns="http://schemas.openxmlformats.org/spreadsheetml/2006/main" count="270" uniqueCount="99">
  <si>
    <t xml:space="preserve">C187-119</t>
  </si>
  <si>
    <t xml:space="preserve">Date:</t>
  </si>
  <si>
    <t xml:space="preserve">Location: </t>
  </si>
  <si>
    <t xml:space="preserve">Mumbai</t>
  </si>
  <si>
    <t xml:space="preserve">Designed by:</t>
  </si>
  <si>
    <t xml:space="preserve">MMB</t>
  </si>
  <si>
    <t xml:space="preserve">Building: </t>
  </si>
  <si>
    <t xml:space="preserve">Checked by:</t>
  </si>
  <si>
    <t xml:space="preserve">MNM</t>
  </si>
  <si>
    <t xml:space="preserve">Option:  </t>
  </si>
  <si>
    <t xml:space="preserve">Revision:</t>
  </si>
  <si>
    <t xml:space="preserve">Total Weight in kg: </t>
  </si>
  <si>
    <t xml:space="preserve">Primary </t>
  </si>
  <si>
    <t xml:space="preserve">Kg</t>
  </si>
  <si>
    <t xml:space="preserve">Eave Height</t>
  </si>
  <si>
    <t xml:space="preserve">Secondary</t>
  </si>
  <si>
    <t xml:space="preserve">Area</t>
  </si>
  <si>
    <t xml:space="preserve">Sheeting</t>
  </si>
  <si>
    <t xml:space="preserve">Density(kg/m2)</t>
  </si>
  <si>
    <t xml:space="preserve">Accessories</t>
  </si>
  <si>
    <t xml:space="preserve">Density(kg/m3)</t>
  </si>
  <si>
    <t xml:space="preserve">Description</t>
  </si>
  <si>
    <t xml:space="preserve">Quantity</t>
  </si>
  <si>
    <t xml:space="preserve">Unit</t>
  </si>
  <si>
    <t xml:space="preserve">Unit Wt.</t>
  </si>
  <si>
    <t xml:space="preserve">Weight (kg)</t>
  </si>
  <si>
    <t xml:space="preserve">Primary Built-up I-Section</t>
  </si>
  <si>
    <t xml:space="preserve">Nos.</t>
  </si>
  <si>
    <t xml:space="preserve">Primary Hot Rolled Section</t>
  </si>
  <si>
    <t xml:space="preserve"> Endwall frames</t>
  </si>
  <si>
    <t xml:space="preserve">Partition column sets </t>
  </si>
  <si>
    <t xml:space="preserve">Strut/Tie members</t>
  </si>
  <si>
    <t xml:space="preserve">m</t>
  </si>
  <si>
    <t xml:space="preserve">Canopy rafters</t>
  </si>
  <si>
    <t xml:space="preserve">Eave extension rafters</t>
  </si>
  <si>
    <t xml:space="preserve">Roof monitor (Built-up I-Section) frames</t>
  </si>
  <si>
    <t xml:space="preserve">Backup beams &amp; Kicker members</t>
  </si>
  <si>
    <t xml:space="preserve">Portal bracing (Built-up I-Section)</t>
  </si>
  <si>
    <t xml:space="preserve">Mezzanine assembly (Built-up I-Section)</t>
  </si>
  <si>
    <t xml:space="preserve">Jack beam</t>
  </si>
  <si>
    <t xml:space="preserve">Crane brackets (Built-up I-Section)</t>
  </si>
  <si>
    <t xml:space="preserve">Crane beam (Built-up I-Section)</t>
  </si>
  <si>
    <t xml:space="preserve">Crane beam supports (Kicker angles, stopper, etc.)</t>
  </si>
  <si>
    <t xml:space="preserve">Walkways &amp; Handrail</t>
  </si>
  <si>
    <t xml:space="preserve">Endplate Connections (% of frame weight)</t>
  </si>
  <si>
    <t xml:space="preserve">Bracing @wall &amp; roof</t>
  </si>
  <si>
    <t xml:space="preserve">Angle Bracing</t>
  </si>
  <si>
    <t xml:space="preserve">Mezzanine/ Crane Bracing @wall </t>
  </si>
  <si>
    <t xml:space="preserve">Chequered plates</t>
  </si>
  <si>
    <t xml:space="preserve">sq m</t>
  </si>
  <si>
    <t xml:space="preserve">Anchor Bolts @ rigid frame</t>
  </si>
  <si>
    <t xml:space="preserve">Connection bolts &amp; accessories</t>
  </si>
  <si>
    <t xml:space="preserve">No of Cleats</t>
  </si>
  <si>
    <t xml:space="preserve">Flange Brace angles - 1000mm (Length)</t>
  </si>
  <si>
    <t xml:space="preserve">Flange Brace Connection (% of flange brace wt.)</t>
  </si>
  <si>
    <t xml:space="preserve">Purlins, Girts &amp; Eave struts</t>
  </si>
  <si>
    <t xml:space="preserve">Canopy Soffit secondary</t>
  </si>
  <si>
    <t xml:space="preserve">Roof monitor secondary</t>
  </si>
  <si>
    <t xml:space="preserve">Header arrangement of Valley gutter</t>
  </si>
  <si>
    <t xml:space="preserve">Header &amp; Jambs for opennings</t>
  </si>
  <si>
    <t xml:space="preserve">Mezzanine edge angles</t>
  </si>
  <si>
    <t xml:space="preserve">Roof  Sheeting (Aluzinc coated steel panels 0.5 mm)</t>
  </si>
  <si>
    <t xml:space="preserve">Roof  Sheeting (Standing Seam panels)</t>
  </si>
  <si>
    <t xml:space="preserve">Wall Sheeting (Puff panel)</t>
  </si>
  <si>
    <t xml:space="preserve">NOT IN SCOPE</t>
  </si>
  <si>
    <t xml:space="preserve">Partition sheeting</t>
  </si>
  <si>
    <t xml:space="preserve">Facia sheeting</t>
  </si>
  <si>
    <t xml:space="preserve">Canopy Sheeting (Aluzinc coated steel panels 0.5 mm)</t>
  </si>
  <si>
    <t xml:space="preserve">Roof monitor sheeting</t>
  </si>
  <si>
    <t xml:space="preserve">Deck Sheeting</t>
  </si>
  <si>
    <t xml:space="preserve">Eave gutter</t>
  </si>
  <si>
    <t xml:space="preserve">Valley gutter</t>
  </si>
  <si>
    <t xml:space="preserve">Liner panels</t>
  </si>
  <si>
    <t xml:space="preserve">Standard trims</t>
  </si>
  <si>
    <t xml:space="preserve">Special trims</t>
  </si>
  <si>
    <t xml:space="preserve">Eave &amp; Gable angles</t>
  </si>
  <si>
    <t xml:space="preserve">Double sliding door (5.0 X 5.0)</t>
  </si>
  <si>
    <t xml:space="preserve">m2</t>
  </si>
  <si>
    <t xml:space="preserve">Roll up door </t>
  </si>
  <si>
    <t xml:space="preserve">Wall light (3.25 x 1.0m)</t>
  </si>
  <si>
    <t xml:space="preserve">Turbo-vent 600 mm dia. </t>
  </si>
  <si>
    <t xml:space="preserve">External Cage ladder using angles</t>
  </si>
  <si>
    <t xml:space="preserve">Internal Cage ladder using ISMC sections</t>
  </si>
  <si>
    <t xml:space="preserve">Ridge vent(0.6m wide throat )</t>
  </si>
  <si>
    <t xml:space="preserve">Staircase</t>
  </si>
  <si>
    <t xml:space="preserve">Bird mesh</t>
  </si>
  <si>
    <t xml:space="preserve">Louvers / Windows</t>
  </si>
  <si>
    <t xml:space="preserve">Puff panels</t>
  </si>
  <si>
    <t xml:space="preserve">Insulation sheets</t>
  </si>
  <si>
    <t xml:space="preserve">Hand rail (Standard)</t>
  </si>
  <si>
    <t xml:space="preserve">S</t>
  </si>
  <si>
    <t xml:space="preserve">Cnnn-xxx</t>
  </si>
  <si>
    <t xml:space="preserve">Kg/m2</t>
  </si>
  <si>
    <t xml:space="preserve">Rigid Frame (Built-up I-Section) Intermediate frames</t>
  </si>
  <si>
    <t xml:space="preserve"> Bracing @wall &amp; roof</t>
  </si>
  <si>
    <t xml:space="preserve">Roof  Sheeting (Aluzinc coated steel panels)</t>
  </si>
  <si>
    <t xml:space="preserve">Wall Sheeting (Aluzinc coated steel panels)</t>
  </si>
  <si>
    <t xml:space="preserve">Canopy Sheeting (Aluzinc coated steel panels)</t>
  </si>
  <si>
    <t xml:space="preserve">Deck Sheeting (0.7mm thick)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</si>
</sst>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0%"/>
    <numFmt numFmtId="167" formatCode="0"/>
    <numFmt numFmtId="168" formatCode="[$-F800]dddd&quot;, &quot;mmmm\ dd&quot;, &quot;yyyy"/>
    <numFmt numFmtId="169" formatCode="0.00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0"/>
      <name val="Arial"/>
      <family val="2"/>
      <charset val="1"/>
    </font>
    <font>
      <b val="true"/>
      <sz val="12.5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 val="true"/>
      <sz val="12.5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CC"/>
      </patternFill>
    </fill>
    <fill>
      <patternFill patternType="solid">
        <fgColor rgb="FFF2F2F2"/>
        <bgColor rgb="FFFFFFFF"/>
      </patternFill>
    </fill>
    <fill>
      <patternFill patternType="solid">
        <fgColor rgb="FFDAE3F3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2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5" borderId="2" xfId="2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5" borderId="2" xfId="2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1" fillId="0" borderId="2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6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5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0" fillId="5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5" borderId="2" xfId="1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4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5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0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3" xfId="22"/>
    <cellStyle name="Percent 2" xfId="23"/>
    <cellStyle name="Excel_BuiltIn_Note 1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241560</xdr:colOff>
      <xdr:row>0</xdr:row>
      <xdr:rowOff>127080</xdr:rowOff>
    </xdr:from>
    <xdr:to>
      <xdr:col>3</xdr:col>
      <xdr:colOff>310320</xdr:colOff>
      <xdr:row>3</xdr:row>
      <xdr:rowOff>136080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3486960" y="127080"/>
          <a:ext cx="874440" cy="692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241560</xdr:colOff>
      <xdr:row>0</xdr:row>
      <xdr:rowOff>127080</xdr:rowOff>
    </xdr:from>
    <xdr:to>
      <xdr:col>3</xdr:col>
      <xdr:colOff>309600</xdr:colOff>
      <xdr:row>3</xdr:row>
      <xdr:rowOff>135360</xdr:rowOff>
    </xdr:to>
    <xdr:pic>
      <xdr:nvPicPr>
        <xdr:cNvPr id="1" name="Picture 8" descr=""/>
        <xdr:cNvPicPr/>
      </xdr:nvPicPr>
      <xdr:blipFill>
        <a:blip r:embed="rId1"/>
        <a:stretch/>
      </xdr:blipFill>
      <xdr:spPr>
        <a:xfrm>
          <a:off x="3275280" y="127080"/>
          <a:ext cx="874080" cy="6080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G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2.14"/>
    <col collapsed="false" customWidth="true" hidden="false" outlineLevel="0" max="2" min="2" style="1" width="33.86"/>
    <col collapsed="false" customWidth="true" hidden="false" outlineLevel="0" max="3" min="3" style="1" width="11.42"/>
    <col collapsed="false" customWidth="true" hidden="false" outlineLevel="0" max="4" min="4" style="1" width="7.42"/>
    <col collapsed="false" customWidth="true" hidden="false" outlineLevel="0" max="5" min="5" style="1" width="14.15"/>
    <col collapsed="false" customWidth="true" hidden="false" outlineLevel="0" max="6" min="6" style="1" width="23.57"/>
    <col collapsed="false" customWidth="false" hidden="false" outlineLevel="0" max="1012" min="7" style="2" width="8.57"/>
  </cols>
  <sheetData>
    <row r="1" customFormat="false" ht="17.25" hidden="false" customHeight="false" outlineLevel="0" collapsed="false">
      <c r="A1" s="3" t="s">
        <v>0</v>
      </c>
      <c r="B1" s="3"/>
      <c r="C1" s="4"/>
      <c r="D1" s="4"/>
      <c r="E1" s="5" t="s">
        <v>1</v>
      </c>
      <c r="F1" s="6" t="n">
        <v>46092</v>
      </c>
    </row>
    <row r="2" customFormat="false" ht="21" hidden="false" customHeight="true" outlineLevel="0" collapsed="false">
      <c r="A2" s="5" t="s">
        <v>2</v>
      </c>
      <c r="B2" s="5" t="s">
        <v>3</v>
      </c>
      <c r="C2" s="4"/>
      <c r="D2" s="4"/>
      <c r="E2" s="5" t="s">
        <v>4</v>
      </c>
      <c r="F2" s="7" t="s">
        <v>5</v>
      </c>
    </row>
    <row r="3" customFormat="false" ht="15.6" hidden="false" customHeight="true" outlineLevel="0" collapsed="false">
      <c r="A3" s="8" t="s">
        <v>6</v>
      </c>
      <c r="B3" s="8" t="n">
        <v>1</v>
      </c>
      <c r="C3" s="4"/>
      <c r="D3" s="4"/>
      <c r="E3" s="5" t="s">
        <v>7</v>
      </c>
      <c r="F3" s="7" t="s">
        <v>8</v>
      </c>
    </row>
    <row r="4" customFormat="false" ht="21" hidden="false" customHeight="true" outlineLevel="0" collapsed="false">
      <c r="A4" s="5" t="s">
        <v>9</v>
      </c>
      <c r="B4" s="8" t="n">
        <v>1</v>
      </c>
      <c r="C4" s="4"/>
      <c r="D4" s="4"/>
      <c r="E4" s="5" t="s">
        <v>10</v>
      </c>
      <c r="F4" s="7" t="n">
        <v>4</v>
      </c>
    </row>
    <row r="5" customFormat="false" ht="17.25" hidden="false" customHeight="false" outlineLevel="0" collapsed="false">
      <c r="A5" s="9" t="s">
        <v>11</v>
      </c>
      <c r="B5" s="9"/>
      <c r="C5" s="10" t="n">
        <f aca="false">SUM(F11:F69)</f>
        <v>17399.78</v>
      </c>
      <c r="D5" s="10"/>
      <c r="E5" s="10"/>
      <c r="F5" s="10"/>
    </row>
    <row r="6" customFormat="false" ht="15.75" hidden="false" customHeight="false" outlineLevel="0" collapsed="false">
      <c r="A6" s="11" t="s">
        <v>12</v>
      </c>
      <c r="B6" s="8" t="n">
        <f aca="false">SUM(F11:F36)</f>
        <v>12915.6</v>
      </c>
      <c r="C6" s="12" t="n">
        <f aca="false">B6/$F$7</f>
        <v>115.317857142857</v>
      </c>
      <c r="D6" s="12" t="s">
        <v>13</v>
      </c>
      <c r="E6" s="8" t="s">
        <v>14</v>
      </c>
      <c r="F6" s="13" t="n">
        <v>7.436</v>
      </c>
    </row>
    <row r="7" customFormat="false" ht="15" hidden="false" customHeight="false" outlineLevel="0" collapsed="false">
      <c r="A7" s="11" t="s">
        <v>15</v>
      </c>
      <c r="B7" s="8" t="n">
        <f aca="false">SUM(F37:F42)</f>
        <v>3060</v>
      </c>
      <c r="C7" s="12" t="n">
        <f aca="false">B7/$F$7</f>
        <v>27.3214285714286</v>
      </c>
      <c r="D7" s="12" t="s">
        <v>13</v>
      </c>
      <c r="E7" s="8" t="s">
        <v>16</v>
      </c>
      <c r="F7" s="7" t="n">
        <v>112</v>
      </c>
    </row>
    <row r="8" customFormat="false" ht="15.75" hidden="false" customHeight="false" outlineLevel="0" collapsed="false">
      <c r="A8" s="11" t="s">
        <v>17</v>
      </c>
      <c r="B8" s="11" t="n">
        <f aca="false">SUM(F43:F50)</f>
        <v>626.18</v>
      </c>
      <c r="C8" s="12" t="n">
        <f aca="false">B8/$F$7</f>
        <v>5.59089285714286</v>
      </c>
      <c r="D8" s="12" t="s">
        <v>13</v>
      </c>
      <c r="E8" s="8" t="s">
        <v>18</v>
      </c>
      <c r="F8" s="13" t="n">
        <f aca="false">C5/F7</f>
        <v>155.355178571429</v>
      </c>
    </row>
    <row r="9" customFormat="false" ht="15.75" hidden="false" customHeight="false" outlineLevel="0" collapsed="false">
      <c r="A9" s="11" t="s">
        <v>19</v>
      </c>
      <c r="B9" s="8" t="n">
        <f aca="false">SUM(F51:F69)</f>
        <v>798</v>
      </c>
      <c r="C9" s="12" t="n">
        <f aca="false">B9/$F$7</f>
        <v>7.125</v>
      </c>
      <c r="D9" s="12" t="s">
        <v>13</v>
      </c>
      <c r="E9" s="8" t="s">
        <v>20</v>
      </c>
      <c r="F9" s="13" t="n">
        <f aca="false">F8/F6</f>
        <v>20.892304810574</v>
      </c>
    </row>
    <row r="10" customFormat="false" ht="15.75" hidden="false" customHeight="false" outlineLevel="0" collapsed="false">
      <c r="A10" s="14" t="s">
        <v>21</v>
      </c>
      <c r="B10" s="14"/>
      <c r="C10" s="14" t="s">
        <v>22</v>
      </c>
      <c r="D10" s="14" t="s">
        <v>23</v>
      </c>
      <c r="E10" s="14" t="s">
        <v>24</v>
      </c>
      <c r="F10" s="14" t="s">
        <v>25</v>
      </c>
    </row>
    <row r="11" customFormat="false" ht="15" hidden="false" customHeight="true" outlineLevel="0" collapsed="false">
      <c r="A11" s="15" t="s">
        <v>26</v>
      </c>
      <c r="B11" s="15"/>
      <c r="C11" s="16" t="n">
        <v>1</v>
      </c>
      <c r="D11" s="17" t="s">
        <v>27</v>
      </c>
      <c r="E11" s="16" t="n">
        <v>9858</v>
      </c>
      <c r="F11" s="18" t="n">
        <f aca="false">C11*E11</f>
        <v>9858</v>
      </c>
    </row>
    <row r="12" customFormat="false" ht="14.25" hidden="true" customHeight="true" outlineLevel="0" collapsed="false">
      <c r="A12" s="15" t="s">
        <v>28</v>
      </c>
      <c r="B12" s="15"/>
      <c r="C12" s="16"/>
      <c r="D12" s="17" t="s">
        <v>27</v>
      </c>
      <c r="E12" s="16"/>
      <c r="F12" s="18" t="n">
        <f aca="false">C12*E12</f>
        <v>0</v>
      </c>
    </row>
    <row r="13" s="19" customFormat="true" ht="15" hidden="true" customHeight="true" outlineLevel="0" collapsed="false">
      <c r="A13" s="15" t="s">
        <v>29</v>
      </c>
      <c r="B13" s="15"/>
      <c r="C13" s="16"/>
      <c r="D13" s="17" t="s">
        <v>27</v>
      </c>
      <c r="E13" s="16"/>
      <c r="F13" s="18" t="n">
        <f aca="false">C13*E13</f>
        <v>0</v>
      </c>
    </row>
    <row r="14" s="19" customFormat="true" ht="15" hidden="true" customHeight="true" outlineLevel="0" collapsed="false">
      <c r="A14" s="15" t="s">
        <v>30</v>
      </c>
      <c r="B14" s="15"/>
      <c r="C14" s="16"/>
      <c r="D14" s="17" t="s">
        <v>27</v>
      </c>
      <c r="E14" s="16"/>
      <c r="F14" s="18" t="n">
        <f aca="false">C14*E14</f>
        <v>0</v>
      </c>
    </row>
    <row r="15" s="19" customFormat="true" ht="15" hidden="true" customHeight="true" outlineLevel="0" collapsed="false">
      <c r="A15" s="15" t="s">
        <v>31</v>
      </c>
      <c r="B15" s="15"/>
      <c r="C15" s="16"/>
      <c r="D15" s="17" t="s">
        <v>32</v>
      </c>
      <c r="E15" s="16"/>
      <c r="F15" s="18" t="n">
        <f aca="false">C15*E15</f>
        <v>0</v>
      </c>
    </row>
    <row r="16" s="19" customFormat="true" ht="15" hidden="true" customHeight="true" outlineLevel="0" collapsed="false">
      <c r="A16" s="15" t="s">
        <v>33</v>
      </c>
      <c r="B16" s="15"/>
      <c r="C16" s="16"/>
      <c r="D16" s="17" t="s">
        <v>27</v>
      </c>
      <c r="E16" s="16"/>
      <c r="F16" s="18" t="n">
        <f aca="false">C16*E16</f>
        <v>0</v>
      </c>
    </row>
    <row r="17" s="19" customFormat="true" ht="15" hidden="true" customHeight="true" outlineLevel="0" collapsed="false">
      <c r="A17" s="15" t="s">
        <v>34</v>
      </c>
      <c r="B17" s="15"/>
      <c r="C17" s="16"/>
      <c r="D17" s="17" t="s">
        <v>27</v>
      </c>
      <c r="E17" s="16"/>
      <c r="F17" s="18" t="n">
        <f aca="false">C17*E17</f>
        <v>0</v>
      </c>
    </row>
    <row r="18" s="19" customFormat="true" ht="15" hidden="true" customHeight="true" outlineLevel="0" collapsed="false">
      <c r="A18" s="15" t="s">
        <v>35</v>
      </c>
      <c r="B18" s="15"/>
      <c r="C18" s="16"/>
      <c r="D18" s="17" t="s">
        <v>27</v>
      </c>
      <c r="E18" s="16"/>
      <c r="F18" s="18" t="n">
        <f aca="false">C18*E18</f>
        <v>0</v>
      </c>
    </row>
    <row r="19" s="19" customFormat="true" ht="15" hidden="true" customHeight="true" outlineLevel="0" collapsed="false">
      <c r="A19" s="15" t="s">
        <v>36</v>
      </c>
      <c r="B19" s="15"/>
      <c r="C19" s="16"/>
      <c r="D19" s="17" t="s">
        <v>27</v>
      </c>
      <c r="E19" s="16"/>
      <c r="F19" s="18" t="n">
        <f aca="false">C19*E19</f>
        <v>0</v>
      </c>
    </row>
    <row r="20" s="19" customFormat="true" ht="15" hidden="true" customHeight="true" outlineLevel="0" collapsed="false">
      <c r="A20" s="15" t="s">
        <v>37</v>
      </c>
      <c r="B20" s="15"/>
      <c r="C20" s="16"/>
      <c r="D20" s="17" t="s">
        <v>27</v>
      </c>
      <c r="E20" s="16"/>
      <c r="F20" s="18" t="n">
        <f aca="false">C20*E20</f>
        <v>0</v>
      </c>
    </row>
    <row r="21" s="19" customFormat="true" ht="15" hidden="true" customHeight="true" outlineLevel="0" collapsed="false">
      <c r="A21" s="15" t="s">
        <v>38</v>
      </c>
      <c r="B21" s="15"/>
      <c r="C21" s="16"/>
      <c r="D21" s="17" t="s">
        <v>27</v>
      </c>
      <c r="E21" s="16"/>
      <c r="F21" s="18" t="n">
        <f aca="false">C21*E21</f>
        <v>0</v>
      </c>
    </row>
    <row r="22" s="19" customFormat="true" ht="15" hidden="true" customHeight="true" outlineLevel="0" collapsed="false">
      <c r="A22" s="15" t="s">
        <v>39</v>
      </c>
      <c r="B22" s="15"/>
      <c r="C22" s="16"/>
      <c r="D22" s="17" t="s">
        <v>27</v>
      </c>
      <c r="E22" s="16"/>
      <c r="F22" s="18" t="n">
        <f aca="false">C22*E22</f>
        <v>0</v>
      </c>
    </row>
    <row r="23" s="19" customFormat="true" ht="15" hidden="true" customHeight="true" outlineLevel="0" collapsed="false">
      <c r="A23" s="15" t="s">
        <v>40</v>
      </c>
      <c r="B23" s="15"/>
      <c r="C23" s="16"/>
      <c r="D23" s="17" t="s">
        <v>27</v>
      </c>
      <c r="E23" s="16"/>
      <c r="F23" s="18" t="n">
        <f aca="false">C23*E23</f>
        <v>0</v>
      </c>
    </row>
    <row r="24" s="19" customFormat="true" ht="15" hidden="true" customHeight="true" outlineLevel="0" collapsed="false">
      <c r="A24" s="15" t="s">
        <v>41</v>
      </c>
      <c r="B24" s="15"/>
      <c r="C24" s="16"/>
      <c r="D24" s="17" t="s">
        <v>32</v>
      </c>
      <c r="E24" s="16"/>
      <c r="F24" s="18" t="n">
        <f aca="false">C24*E24</f>
        <v>0</v>
      </c>
    </row>
    <row r="25" s="19" customFormat="true" ht="16.5" hidden="true" customHeight="true" outlineLevel="0" collapsed="false">
      <c r="A25" s="15" t="s">
        <v>42</v>
      </c>
      <c r="B25" s="15"/>
      <c r="C25" s="16"/>
      <c r="D25" s="17"/>
      <c r="E25" s="16"/>
      <c r="F25" s="18" t="n">
        <f aca="false">C25*E25</f>
        <v>0</v>
      </c>
    </row>
    <row r="26" s="19" customFormat="true" ht="15" hidden="true" customHeight="true" outlineLevel="0" collapsed="false">
      <c r="A26" s="15" t="s">
        <v>43</v>
      </c>
      <c r="B26" s="15"/>
      <c r="C26" s="16"/>
      <c r="D26" s="17" t="s">
        <v>32</v>
      </c>
      <c r="E26" s="16"/>
      <c r="F26" s="18"/>
    </row>
    <row r="27" s="19" customFormat="true" ht="15" hidden="false" customHeight="true" outlineLevel="0" collapsed="false">
      <c r="A27" s="15" t="s">
        <v>44</v>
      </c>
      <c r="B27" s="15"/>
      <c r="C27" s="20" t="n">
        <v>0.04</v>
      </c>
      <c r="D27" s="17"/>
      <c r="E27" s="16"/>
      <c r="F27" s="18" t="n">
        <v>890</v>
      </c>
    </row>
    <row r="28" s="19" customFormat="true" ht="15" hidden="false" customHeight="true" outlineLevel="0" collapsed="false">
      <c r="A28" s="15" t="s">
        <v>45</v>
      </c>
      <c r="B28" s="15"/>
      <c r="C28" s="16" t="n">
        <v>1</v>
      </c>
      <c r="D28" s="17"/>
      <c r="E28" s="16" t="n">
        <v>1280</v>
      </c>
      <c r="F28" s="18" t="n">
        <f aca="false">C28*E28</f>
        <v>1280</v>
      </c>
    </row>
    <row r="29" s="19" customFormat="true" ht="15" hidden="true" customHeight="true" outlineLevel="0" collapsed="false">
      <c r="A29" s="15" t="s">
        <v>46</v>
      </c>
      <c r="B29" s="15"/>
      <c r="C29" s="16"/>
      <c r="D29" s="17"/>
      <c r="E29" s="16"/>
      <c r="F29" s="18" t="n">
        <f aca="false">C29*E29</f>
        <v>0</v>
      </c>
    </row>
    <row r="30" s="19" customFormat="true" ht="15" hidden="true" customHeight="true" outlineLevel="0" collapsed="false">
      <c r="A30" s="15" t="s">
        <v>47</v>
      </c>
      <c r="B30" s="15"/>
      <c r="C30" s="16"/>
      <c r="D30" s="17"/>
      <c r="E30" s="16"/>
      <c r="F30" s="18" t="n">
        <f aca="false">C30*E30</f>
        <v>0</v>
      </c>
    </row>
    <row r="31" s="19" customFormat="true" ht="15" hidden="true" customHeight="true" outlineLevel="0" collapsed="false">
      <c r="A31" s="15" t="s">
        <v>48</v>
      </c>
      <c r="B31" s="15"/>
      <c r="C31" s="16"/>
      <c r="D31" s="17" t="s">
        <v>49</v>
      </c>
      <c r="E31" s="16"/>
      <c r="F31" s="18" t="n">
        <f aca="false">C31*E31</f>
        <v>0</v>
      </c>
    </row>
    <row r="32" s="19" customFormat="true" ht="15" hidden="true" customHeight="true" outlineLevel="0" collapsed="false">
      <c r="A32" s="15" t="s">
        <v>50</v>
      </c>
      <c r="B32" s="15"/>
      <c r="C32" s="16"/>
      <c r="D32" s="17" t="s">
        <v>27</v>
      </c>
      <c r="E32" s="16"/>
      <c r="F32" s="18" t="n">
        <f aca="false">C32*E32</f>
        <v>0</v>
      </c>
    </row>
    <row r="33" s="19" customFormat="true" ht="15" hidden="false" customHeight="true" outlineLevel="0" collapsed="false">
      <c r="A33" s="15" t="s">
        <v>51</v>
      </c>
      <c r="B33" s="15"/>
      <c r="C33" s="16" t="n">
        <v>1</v>
      </c>
      <c r="D33" s="17" t="s">
        <v>27</v>
      </c>
      <c r="E33" s="16" t="n">
        <v>380</v>
      </c>
      <c r="F33" s="18" t="n">
        <f aca="false">C33*E33</f>
        <v>380</v>
      </c>
    </row>
    <row r="34" s="19" customFormat="true" ht="15" hidden="true" customHeight="true" outlineLevel="0" collapsed="false">
      <c r="A34" s="15" t="s">
        <v>52</v>
      </c>
      <c r="B34" s="15"/>
      <c r="C34" s="16"/>
      <c r="D34" s="17" t="s">
        <v>27</v>
      </c>
      <c r="E34" s="16"/>
      <c r="F34" s="18" t="n">
        <f aca="false">C34*E34</f>
        <v>0</v>
      </c>
    </row>
    <row r="35" s="19" customFormat="true" ht="15" hidden="false" customHeight="true" outlineLevel="0" collapsed="false">
      <c r="A35" s="15" t="s">
        <v>53</v>
      </c>
      <c r="B35" s="15"/>
      <c r="C35" s="16" t="n">
        <v>1</v>
      </c>
      <c r="D35" s="17" t="s">
        <v>27</v>
      </c>
      <c r="E35" s="16" t="n">
        <v>470</v>
      </c>
      <c r="F35" s="18" t="n">
        <f aca="false">C35*E35</f>
        <v>470</v>
      </c>
    </row>
    <row r="36" s="19" customFormat="true" ht="15" hidden="false" customHeight="true" outlineLevel="0" collapsed="false">
      <c r="A36" s="15" t="s">
        <v>54</v>
      </c>
      <c r="B36" s="15"/>
      <c r="C36" s="20" t="n">
        <v>0.08</v>
      </c>
      <c r="D36" s="17"/>
      <c r="E36" s="16"/>
      <c r="F36" s="18" t="n">
        <f aca="false">C36*F35</f>
        <v>37.6</v>
      </c>
    </row>
    <row r="37" s="19" customFormat="true" ht="15" hidden="false" customHeight="true" outlineLevel="0" collapsed="false">
      <c r="A37" s="21" t="s">
        <v>55</v>
      </c>
      <c r="B37" s="21"/>
      <c r="C37" s="16" t="n">
        <v>1</v>
      </c>
      <c r="D37" s="22"/>
      <c r="E37" s="16" t="n">
        <v>2900</v>
      </c>
      <c r="F37" s="18" t="n">
        <f aca="false">C37*E37</f>
        <v>2900</v>
      </c>
    </row>
    <row r="38" customFormat="false" ht="15" hidden="true" customHeight="true" outlineLevel="0" collapsed="false">
      <c r="A38" s="21" t="s">
        <v>56</v>
      </c>
      <c r="B38" s="21"/>
      <c r="C38" s="23"/>
      <c r="D38" s="22"/>
      <c r="E38" s="23"/>
      <c r="F38" s="18" t="n">
        <f aca="false">C38*E38</f>
        <v>0</v>
      </c>
    </row>
    <row r="39" customFormat="false" ht="15" hidden="true" customHeight="true" outlineLevel="0" collapsed="false">
      <c r="A39" s="21" t="s">
        <v>57</v>
      </c>
      <c r="B39" s="21"/>
      <c r="C39" s="23"/>
      <c r="D39" s="22"/>
      <c r="E39" s="23"/>
      <c r="F39" s="18" t="n">
        <f aca="false">C39*E39</f>
        <v>0</v>
      </c>
    </row>
    <row r="40" customFormat="false" ht="15" hidden="true" customHeight="true" outlineLevel="0" collapsed="false">
      <c r="A40" s="21" t="s">
        <v>58</v>
      </c>
      <c r="B40" s="21"/>
      <c r="C40" s="23"/>
      <c r="D40" s="22"/>
      <c r="E40" s="23"/>
      <c r="F40" s="18" t="n">
        <f aca="false">C40*E40</f>
        <v>0</v>
      </c>
    </row>
    <row r="41" customFormat="false" ht="15" hidden="false" customHeight="true" outlineLevel="0" collapsed="false">
      <c r="A41" s="21" t="s">
        <v>59</v>
      </c>
      <c r="B41" s="21"/>
      <c r="C41" s="23" t="n">
        <v>1</v>
      </c>
      <c r="D41" s="22" t="s">
        <v>32</v>
      </c>
      <c r="E41" s="23" t="n">
        <f aca="false">80+80</f>
        <v>160</v>
      </c>
      <c r="F41" s="18" t="n">
        <f aca="false">C41*E41</f>
        <v>160</v>
      </c>
    </row>
    <row r="42" customFormat="false" ht="15" hidden="true" customHeight="true" outlineLevel="0" collapsed="false">
      <c r="A42" s="21" t="s">
        <v>60</v>
      </c>
      <c r="B42" s="21"/>
      <c r="C42" s="23"/>
      <c r="D42" s="22" t="s">
        <v>32</v>
      </c>
      <c r="E42" s="23"/>
      <c r="F42" s="18" t="n">
        <f aca="false">C42*E42</f>
        <v>0</v>
      </c>
    </row>
    <row r="43" customFormat="false" ht="15" hidden="false" customHeight="true" outlineLevel="0" collapsed="false">
      <c r="A43" s="24" t="s">
        <v>61</v>
      </c>
      <c r="B43" s="24"/>
      <c r="C43" s="23" t="n">
        <v>115</v>
      </c>
      <c r="D43" s="17" t="s">
        <v>49</v>
      </c>
      <c r="E43" s="25" t="n">
        <v>4.78</v>
      </c>
      <c r="F43" s="18" t="n">
        <f aca="false">C43*E43</f>
        <v>549.7</v>
      </c>
    </row>
    <row r="44" customFormat="false" ht="15" hidden="true" customHeight="true" outlineLevel="0" collapsed="false">
      <c r="A44" s="24" t="s">
        <v>62</v>
      </c>
      <c r="B44" s="24"/>
      <c r="C44" s="23"/>
      <c r="D44" s="17" t="s">
        <v>49</v>
      </c>
      <c r="E44" s="23"/>
      <c r="F44" s="18"/>
    </row>
    <row r="45" customFormat="false" ht="15" hidden="false" customHeight="true" outlineLevel="0" collapsed="false">
      <c r="A45" s="24" t="s">
        <v>63</v>
      </c>
      <c r="B45" s="24"/>
      <c r="C45" s="23" t="n">
        <v>365</v>
      </c>
      <c r="D45" s="17" t="s">
        <v>49</v>
      </c>
      <c r="E45" s="25"/>
      <c r="F45" s="18" t="n">
        <f aca="false">C45*E45</f>
        <v>0</v>
      </c>
      <c r="G45" s="2" t="s">
        <v>64</v>
      </c>
    </row>
    <row r="46" customFormat="false" ht="15" hidden="true" customHeight="true" outlineLevel="0" collapsed="false">
      <c r="A46" s="24" t="s">
        <v>65</v>
      </c>
      <c r="B46" s="24"/>
      <c r="C46" s="23"/>
      <c r="D46" s="17" t="s">
        <v>49</v>
      </c>
      <c r="E46" s="23"/>
      <c r="F46" s="18" t="n">
        <f aca="false">C46*E46</f>
        <v>0</v>
      </c>
    </row>
    <row r="47" customFormat="false" ht="15" hidden="true" customHeight="true" outlineLevel="0" collapsed="false">
      <c r="A47" s="24" t="s">
        <v>66</v>
      </c>
      <c r="B47" s="24"/>
      <c r="C47" s="23"/>
      <c r="D47" s="17" t="s">
        <v>49</v>
      </c>
      <c r="E47" s="23"/>
      <c r="F47" s="18" t="n">
        <f aca="false">C47*E47</f>
        <v>0</v>
      </c>
    </row>
    <row r="48" customFormat="false" ht="15" hidden="false" customHeight="true" outlineLevel="0" collapsed="false">
      <c r="A48" s="24" t="s">
        <v>67</v>
      </c>
      <c r="B48" s="24"/>
      <c r="C48" s="23" t="n">
        <v>16</v>
      </c>
      <c r="D48" s="17" t="s">
        <v>49</v>
      </c>
      <c r="E48" s="25" t="n">
        <v>4.78</v>
      </c>
      <c r="F48" s="18" t="n">
        <f aca="false">C48*E48</f>
        <v>76.48</v>
      </c>
    </row>
    <row r="49" customFormat="false" ht="15" hidden="true" customHeight="true" outlineLevel="0" collapsed="false">
      <c r="A49" s="24" t="s">
        <v>68</v>
      </c>
      <c r="B49" s="24"/>
      <c r="C49" s="23"/>
      <c r="D49" s="17" t="s">
        <v>27</v>
      </c>
      <c r="E49" s="23"/>
      <c r="F49" s="18" t="n">
        <f aca="false">C49*E49</f>
        <v>0</v>
      </c>
    </row>
    <row r="50" customFormat="false" ht="15" hidden="true" customHeight="true" outlineLevel="0" collapsed="false">
      <c r="A50" s="24" t="s">
        <v>69</v>
      </c>
      <c r="B50" s="24"/>
      <c r="C50" s="23"/>
      <c r="D50" s="17" t="s">
        <v>49</v>
      </c>
      <c r="E50" s="23"/>
      <c r="F50" s="18" t="n">
        <f aca="false">C50*E50</f>
        <v>0</v>
      </c>
    </row>
    <row r="51" customFormat="false" ht="15" hidden="true" customHeight="true" outlineLevel="0" collapsed="false">
      <c r="A51" s="24" t="s">
        <v>70</v>
      </c>
      <c r="B51" s="24"/>
      <c r="C51" s="23"/>
      <c r="D51" s="17" t="s">
        <v>32</v>
      </c>
      <c r="E51" s="23"/>
      <c r="F51" s="18" t="n">
        <f aca="false">C51*E51</f>
        <v>0</v>
      </c>
    </row>
    <row r="52" customFormat="false" ht="15" hidden="true" customHeight="true" outlineLevel="0" collapsed="false">
      <c r="A52" s="24" t="s">
        <v>71</v>
      </c>
      <c r="B52" s="24"/>
      <c r="C52" s="23"/>
      <c r="D52" s="17" t="s">
        <v>32</v>
      </c>
      <c r="E52" s="16"/>
      <c r="F52" s="18" t="n">
        <f aca="false">C52*E52</f>
        <v>0</v>
      </c>
    </row>
    <row r="53" customFormat="false" ht="15" hidden="true" customHeight="true" outlineLevel="0" collapsed="false">
      <c r="A53" s="24" t="s">
        <v>72</v>
      </c>
      <c r="B53" s="24"/>
      <c r="C53" s="23"/>
      <c r="D53" s="17" t="s">
        <v>49</v>
      </c>
      <c r="E53" s="16"/>
      <c r="F53" s="18" t="n">
        <f aca="false">C53*E53</f>
        <v>0</v>
      </c>
    </row>
    <row r="54" customFormat="false" ht="15" hidden="false" customHeight="true" outlineLevel="0" collapsed="false">
      <c r="A54" s="24" t="s">
        <v>73</v>
      </c>
      <c r="B54" s="24"/>
      <c r="C54" s="26" t="n">
        <v>1</v>
      </c>
      <c r="D54" s="17"/>
      <c r="E54" s="23" t="n">
        <f aca="false">498+300</f>
        <v>798</v>
      </c>
      <c r="F54" s="18" t="n">
        <f aca="false">C54*E54</f>
        <v>798</v>
      </c>
    </row>
    <row r="55" customFormat="false" ht="15" hidden="true" customHeight="true" outlineLevel="0" collapsed="false">
      <c r="A55" s="24" t="s">
        <v>74</v>
      </c>
      <c r="B55" s="24"/>
      <c r="C55" s="26"/>
      <c r="D55" s="17"/>
      <c r="E55" s="23"/>
      <c r="F55" s="18" t="n">
        <f aca="false">C55*E55</f>
        <v>0</v>
      </c>
    </row>
    <row r="56" customFormat="false" ht="15" hidden="true" customHeight="true" outlineLevel="0" collapsed="false">
      <c r="A56" s="24" t="s">
        <v>75</v>
      </c>
      <c r="B56" s="24"/>
      <c r="C56" s="26"/>
      <c r="D56" s="17" t="s">
        <v>32</v>
      </c>
      <c r="E56" s="23"/>
      <c r="F56" s="18" t="n">
        <f aca="false">C56*E56</f>
        <v>0</v>
      </c>
    </row>
    <row r="57" customFormat="false" ht="15" hidden="true" customHeight="true" outlineLevel="0" collapsed="false">
      <c r="A57" s="27" t="s">
        <v>76</v>
      </c>
      <c r="B57" s="27"/>
      <c r="C57" s="16"/>
      <c r="D57" s="28" t="s">
        <v>77</v>
      </c>
      <c r="E57" s="16" t="n">
        <v>60</v>
      </c>
      <c r="F57" s="18" t="n">
        <f aca="false">C57*E57</f>
        <v>0</v>
      </c>
    </row>
    <row r="58" customFormat="false" ht="15" hidden="false" customHeight="true" outlineLevel="0" collapsed="false">
      <c r="A58" s="27" t="s">
        <v>78</v>
      </c>
      <c r="B58" s="27"/>
      <c r="C58" s="16" t="n">
        <v>2</v>
      </c>
      <c r="D58" s="28" t="s">
        <v>27</v>
      </c>
      <c r="E58" s="16"/>
      <c r="F58" s="18" t="n">
        <f aca="false">C58*E58</f>
        <v>0</v>
      </c>
    </row>
    <row r="59" customFormat="false" ht="15" hidden="true" customHeight="true" outlineLevel="0" collapsed="false">
      <c r="A59" s="21" t="s">
        <v>79</v>
      </c>
      <c r="B59" s="21"/>
      <c r="C59" s="16"/>
      <c r="D59" s="28" t="s">
        <v>27</v>
      </c>
      <c r="E59" s="23"/>
      <c r="F59" s="18" t="n">
        <f aca="false">C59*E59</f>
        <v>0</v>
      </c>
    </row>
    <row r="60" customFormat="false" ht="15" hidden="false" customHeight="true" outlineLevel="0" collapsed="false">
      <c r="A60" s="21" t="s">
        <v>80</v>
      </c>
      <c r="B60" s="21"/>
      <c r="C60" s="16" t="n">
        <v>3</v>
      </c>
      <c r="D60" s="28" t="s">
        <v>27</v>
      </c>
      <c r="E60" s="23"/>
      <c r="F60" s="18" t="n">
        <f aca="false">C60*E60</f>
        <v>0</v>
      </c>
    </row>
    <row r="61" customFormat="false" ht="15" hidden="true" customHeight="true" outlineLevel="0" collapsed="false">
      <c r="A61" s="21" t="s">
        <v>81</v>
      </c>
      <c r="B61" s="21"/>
      <c r="C61" s="16"/>
      <c r="D61" s="28" t="s">
        <v>32</v>
      </c>
      <c r="E61" s="23" t="n">
        <v>22</v>
      </c>
      <c r="F61" s="18" t="n">
        <f aca="false">C61*E61</f>
        <v>0</v>
      </c>
    </row>
    <row r="62" customFormat="false" ht="15" hidden="true" customHeight="true" outlineLevel="0" collapsed="false">
      <c r="A62" s="21" t="s">
        <v>82</v>
      </c>
      <c r="B62" s="21"/>
      <c r="C62" s="16"/>
      <c r="D62" s="28" t="s">
        <v>32</v>
      </c>
      <c r="E62" s="23" t="n">
        <v>75</v>
      </c>
      <c r="F62" s="18" t="n">
        <f aca="false">C62*E62</f>
        <v>0</v>
      </c>
    </row>
    <row r="63" customFormat="false" ht="15" hidden="true" customHeight="true" outlineLevel="0" collapsed="false">
      <c r="A63" s="21" t="s">
        <v>83</v>
      </c>
      <c r="B63" s="21"/>
      <c r="C63" s="23"/>
      <c r="D63" s="28" t="s">
        <v>32</v>
      </c>
      <c r="E63" s="23" t="n">
        <v>20</v>
      </c>
      <c r="F63" s="18" t="n">
        <f aca="false">C63*E63</f>
        <v>0</v>
      </c>
    </row>
    <row r="64" s="19" customFormat="true" ht="15" hidden="true" customHeight="true" outlineLevel="0" collapsed="false">
      <c r="A64" s="21" t="s">
        <v>84</v>
      </c>
      <c r="B64" s="21"/>
      <c r="C64" s="16"/>
      <c r="D64" s="28" t="s">
        <v>27</v>
      </c>
      <c r="E64" s="16"/>
      <c r="F64" s="18" t="n">
        <f aca="false">C64*E64</f>
        <v>0</v>
      </c>
    </row>
    <row r="65" s="19" customFormat="true" ht="15" hidden="true" customHeight="true" outlineLevel="0" collapsed="false">
      <c r="A65" s="21" t="s">
        <v>85</v>
      </c>
      <c r="B65" s="21"/>
      <c r="C65" s="16"/>
      <c r="D65" s="28" t="s">
        <v>49</v>
      </c>
      <c r="E65" s="16"/>
      <c r="F65" s="18" t="n">
        <f aca="false">C65*E65</f>
        <v>0</v>
      </c>
    </row>
    <row r="66" s="19" customFormat="true" ht="15" hidden="true" customHeight="true" outlineLevel="0" collapsed="false">
      <c r="A66" s="21" t="s">
        <v>86</v>
      </c>
      <c r="B66" s="21"/>
      <c r="C66" s="16"/>
      <c r="D66" s="28" t="s">
        <v>27</v>
      </c>
      <c r="E66" s="16"/>
      <c r="F66" s="18" t="n">
        <f aca="false">C66*E66</f>
        <v>0</v>
      </c>
    </row>
    <row r="67" s="19" customFormat="true" ht="15" hidden="true" customHeight="true" outlineLevel="0" collapsed="false">
      <c r="A67" s="21" t="s">
        <v>87</v>
      </c>
      <c r="B67" s="21"/>
      <c r="C67" s="16"/>
      <c r="D67" s="28" t="s">
        <v>49</v>
      </c>
      <c r="E67" s="16"/>
      <c r="F67" s="18" t="n">
        <f aca="false">C67*E67</f>
        <v>0</v>
      </c>
    </row>
    <row r="68" s="19" customFormat="true" ht="15" hidden="true" customHeight="true" outlineLevel="0" collapsed="false">
      <c r="A68" s="21" t="s">
        <v>88</v>
      </c>
      <c r="B68" s="21"/>
      <c r="C68" s="16"/>
      <c r="D68" s="28" t="s">
        <v>49</v>
      </c>
      <c r="E68" s="16"/>
      <c r="F68" s="18" t="n">
        <f aca="false">C68*E68</f>
        <v>0</v>
      </c>
    </row>
    <row r="69" customFormat="false" ht="15" hidden="true" customHeight="true" outlineLevel="0" collapsed="false">
      <c r="A69" s="21" t="s">
        <v>89</v>
      </c>
      <c r="B69" s="21"/>
      <c r="C69" s="29"/>
      <c r="D69" s="28" t="s">
        <v>32</v>
      </c>
      <c r="E69" s="30" t="n">
        <v>28</v>
      </c>
      <c r="F69" s="18" t="n">
        <f aca="false">C69*E69</f>
        <v>0</v>
      </c>
    </row>
    <row r="71" customFormat="false" ht="15" hidden="false" customHeight="false" outlineLevel="0" collapsed="false">
      <c r="C71" s="1" t="s">
        <v>90</v>
      </c>
    </row>
  </sheetData>
  <autoFilter ref="C10:E69">
    <filterColumn colId="0">
      <filters>
        <filter val="1"/>
        <filter val="1%"/>
        <filter val="185"/>
        <filter val="2"/>
        <filter val="3"/>
        <filter val="365"/>
        <filter val="8%"/>
        <filter val="9"/>
      </filters>
    </filterColumn>
  </autoFilter>
  <mergeCells count="64">
    <mergeCell ref="A1:B1"/>
    <mergeCell ref="C1:D4"/>
    <mergeCell ref="A5:B5"/>
    <mergeCell ref="C5:F5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</mergeCells>
  <printOptions headings="false" gridLines="false" gridLinesSet="true" horizontalCentered="true" verticalCentered="false"/>
  <pageMargins left="0.827083333333333" right="0.236111111111111" top="0.354861111111111" bottom="0.354861111111111" header="0.511805555555555" footer="0.511805555555555"/>
  <pageSetup paperSize="9" scale="95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&amp;CInfiniti Solutions</oddHeader>
    <oddFooter>&amp;LConfidential&amp;CEstimation V1.0&amp;R&amp;P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7" activeCellId="0" sqref="K37"/>
    </sheetView>
  </sheetViews>
  <sheetFormatPr defaultColWidth="8.72265625" defaultRowHeight="15" zeroHeight="false" outlineLevelRow="0" outlineLevelCol="0"/>
  <cols>
    <col collapsed="false" customWidth="true" hidden="false" outlineLevel="0" max="1" min="1" style="0" width="26.71"/>
    <col collapsed="false" customWidth="true" hidden="false" outlineLevel="0" max="2" min="2" style="0" width="16.29"/>
    <col collapsed="false" customWidth="true" hidden="false" outlineLevel="0" max="3" min="3" style="0" width="11.42"/>
    <col collapsed="false" customWidth="true" hidden="false" outlineLevel="0" max="4" min="4" style="0" width="7.42"/>
    <col collapsed="false" customWidth="true" hidden="false" outlineLevel="0" max="5" min="5" style="0" width="14.15"/>
    <col collapsed="false" customWidth="true" hidden="false" outlineLevel="0" max="6" min="6" style="0" width="17.86"/>
  </cols>
  <sheetData>
    <row r="1" customFormat="false" ht="17.25" hidden="false" customHeight="false" outlineLevel="0" collapsed="false">
      <c r="A1" s="3" t="s">
        <v>91</v>
      </c>
      <c r="B1" s="3"/>
      <c r="C1" s="4"/>
      <c r="D1" s="4"/>
      <c r="E1" s="5" t="s">
        <v>1</v>
      </c>
      <c r="F1" s="6" t="n">
        <v>45670</v>
      </c>
    </row>
    <row r="2" customFormat="false" ht="15" hidden="false" customHeight="false" outlineLevel="0" collapsed="false">
      <c r="A2" s="5" t="s">
        <v>2</v>
      </c>
      <c r="B2" s="5"/>
      <c r="C2" s="4"/>
      <c r="D2" s="4"/>
      <c r="E2" s="5" t="s">
        <v>4</v>
      </c>
      <c r="F2" s="7"/>
    </row>
    <row r="3" customFormat="false" ht="15" hidden="false" customHeight="false" outlineLevel="0" collapsed="false">
      <c r="A3" s="8" t="s">
        <v>6</v>
      </c>
      <c r="B3" s="8" t="n">
        <v>1</v>
      </c>
      <c r="C3" s="4"/>
      <c r="D3" s="4"/>
      <c r="E3" s="5" t="s">
        <v>7</v>
      </c>
      <c r="F3" s="7"/>
    </row>
    <row r="4" customFormat="false" ht="15" hidden="false" customHeight="false" outlineLevel="0" collapsed="false">
      <c r="A4" s="5" t="s">
        <v>9</v>
      </c>
      <c r="B4" s="8" t="n">
        <v>1</v>
      </c>
      <c r="C4" s="4"/>
      <c r="D4" s="4"/>
      <c r="E4" s="5" t="s">
        <v>10</v>
      </c>
      <c r="F4" s="7" t="n">
        <v>0</v>
      </c>
    </row>
    <row r="5" customFormat="false" ht="17.25" hidden="false" customHeight="false" outlineLevel="0" collapsed="false">
      <c r="A5" s="31" t="s">
        <v>11</v>
      </c>
      <c r="B5" s="31"/>
      <c r="C5" s="9" t="n">
        <f aca="false">SUM(F11:F69)</f>
        <v>26</v>
      </c>
      <c r="D5" s="9"/>
      <c r="E5" s="9"/>
      <c r="F5" s="32" t="s">
        <v>13</v>
      </c>
    </row>
    <row r="6" customFormat="false" ht="15.75" hidden="false" customHeight="false" outlineLevel="0" collapsed="false">
      <c r="A6" s="11" t="s">
        <v>12</v>
      </c>
      <c r="B6" s="33" t="n">
        <f aca="false">SUM(F11:F36)</f>
        <v>0</v>
      </c>
      <c r="C6" s="0" t="e">
        <f aca="false">B6/F7</f>
        <v>#DIV/0!</v>
      </c>
      <c r="D6" s="12" t="s">
        <v>92</v>
      </c>
      <c r="E6" s="8" t="s">
        <v>14</v>
      </c>
      <c r="F6" s="13"/>
    </row>
    <row r="7" customFormat="false" ht="15" hidden="false" customHeight="false" outlineLevel="0" collapsed="false">
      <c r="A7" s="11" t="s">
        <v>15</v>
      </c>
      <c r="B7" s="33" t="n">
        <f aca="false">SUM(F37:F42)</f>
        <v>6</v>
      </c>
      <c r="C7" s="0" t="e">
        <f aca="false">B7/F7</f>
        <v>#DIV/0!</v>
      </c>
      <c r="D7" s="12" t="s">
        <v>92</v>
      </c>
      <c r="E7" s="8" t="s">
        <v>16</v>
      </c>
      <c r="F7" s="7"/>
    </row>
    <row r="8" customFormat="false" ht="15.75" hidden="false" customHeight="false" outlineLevel="0" collapsed="false">
      <c r="A8" s="11" t="s">
        <v>17</v>
      </c>
      <c r="B8" s="33" t="n">
        <f aca="false">SUM(F43:F50)</f>
        <v>0</v>
      </c>
      <c r="C8" s="0" t="e">
        <f aca="false">B8/F7</f>
        <v>#DIV/0!</v>
      </c>
      <c r="D8" s="12" t="s">
        <v>92</v>
      </c>
      <c r="E8" s="8" t="s">
        <v>18</v>
      </c>
      <c r="F8" s="13" t="e">
        <f aca="false">C5/F7</f>
        <v>#DIV/0!</v>
      </c>
    </row>
    <row r="9" customFormat="false" ht="15.75" hidden="false" customHeight="false" outlineLevel="0" collapsed="false">
      <c r="A9" s="11" t="s">
        <v>19</v>
      </c>
      <c r="B9" s="33" t="n">
        <f aca="false">SUM(F51:F69)</f>
        <v>20</v>
      </c>
      <c r="C9" s="0" t="e">
        <f aca="false">B9/F7</f>
        <v>#DIV/0!</v>
      </c>
      <c r="D9" s="12" t="s">
        <v>92</v>
      </c>
      <c r="E9" s="8" t="s">
        <v>20</v>
      </c>
      <c r="F9" s="13" t="e">
        <f aca="false">F8/F6</f>
        <v>#DIV/0!</v>
      </c>
    </row>
    <row r="10" customFormat="false" ht="15.75" hidden="false" customHeight="false" outlineLevel="0" collapsed="false">
      <c r="A10" s="14" t="s">
        <v>21</v>
      </c>
      <c r="B10" s="14"/>
      <c r="C10" s="14" t="s">
        <v>22</v>
      </c>
      <c r="D10" s="14" t="s">
        <v>23</v>
      </c>
      <c r="E10" s="14" t="s">
        <v>24</v>
      </c>
      <c r="F10" s="14" t="s">
        <v>25</v>
      </c>
    </row>
    <row r="11" customFormat="false" ht="15" hidden="false" customHeight="true" outlineLevel="0" collapsed="false">
      <c r="A11" s="15" t="s">
        <v>26</v>
      </c>
      <c r="B11" s="15"/>
      <c r="C11" s="16" t="n">
        <v>1</v>
      </c>
      <c r="D11" s="17" t="s">
        <v>27</v>
      </c>
      <c r="E11" s="16"/>
      <c r="F11" s="18" t="n">
        <f aca="false">C11*E11</f>
        <v>0</v>
      </c>
    </row>
    <row r="12" customFormat="false" ht="15" hidden="true" customHeight="true" outlineLevel="0" collapsed="false">
      <c r="A12" s="15" t="s">
        <v>93</v>
      </c>
      <c r="B12" s="15"/>
      <c r="C12" s="16"/>
      <c r="D12" s="17" t="s">
        <v>27</v>
      </c>
      <c r="E12" s="16"/>
      <c r="F12" s="18" t="n">
        <f aca="false">C12*E12</f>
        <v>0</v>
      </c>
    </row>
    <row r="13" customFormat="false" ht="15" hidden="true" customHeight="true" outlineLevel="0" collapsed="false">
      <c r="A13" s="15" t="s">
        <v>29</v>
      </c>
      <c r="B13" s="15"/>
      <c r="C13" s="16"/>
      <c r="D13" s="17" t="s">
        <v>27</v>
      </c>
      <c r="E13" s="16"/>
      <c r="F13" s="18" t="n">
        <f aca="false">C13*E13</f>
        <v>0</v>
      </c>
    </row>
    <row r="14" customFormat="false" ht="15" hidden="true" customHeight="true" outlineLevel="0" collapsed="false">
      <c r="A14" s="15" t="s">
        <v>30</v>
      </c>
      <c r="B14" s="15"/>
      <c r="C14" s="16"/>
      <c r="D14" s="17" t="s">
        <v>27</v>
      </c>
      <c r="E14" s="16"/>
      <c r="F14" s="18" t="n">
        <f aca="false">C14*E14</f>
        <v>0</v>
      </c>
    </row>
    <row r="15" customFormat="false" ht="15" hidden="true" customHeight="true" outlineLevel="0" collapsed="false">
      <c r="A15" s="15" t="s">
        <v>31</v>
      </c>
      <c r="B15" s="15"/>
      <c r="C15" s="16"/>
      <c r="D15" s="17" t="s">
        <v>32</v>
      </c>
      <c r="E15" s="16"/>
      <c r="F15" s="18" t="n">
        <f aca="false">C15*E15</f>
        <v>0</v>
      </c>
    </row>
    <row r="16" customFormat="false" ht="15" hidden="true" customHeight="true" outlineLevel="0" collapsed="false">
      <c r="A16" s="15" t="s">
        <v>33</v>
      </c>
      <c r="B16" s="15"/>
      <c r="C16" s="16"/>
      <c r="D16" s="17" t="s">
        <v>27</v>
      </c>
      <c r="E16" s="16"/>
      <c r="F16" s="18" t="n">
        <f aca="false">C16*E16</f>
        <v>0</v>
      </c>
    </row>
    <row r="17" customFormat="false" ht="15" hidden="true" customHeight="true" outlineLevel="0" collapsed="false">
      <c r="A17" s="15" t="s">
        <v>34</v>
      </c>
      <c r="B17" s="15"/>
      <c r="C17" s="16"/>
      <c r="D17" s="17" t="s">
        <v>27</v>
      </c>
      <c r="E17" s="16"/>
      <c r="F17" s="18" t="n">
        <f aca="false">C17*E17</f>
        <v>0</v>
      </c>
    </row>
    <row r="18" customFormat="false" ht="15" hidden="true" customHeight="true" outlineLevel="0" collapsed="false">
      <c r="A18" s="15" t="s">
        <v>35</v>
      </c>
      <c r="B18" s="15"/>
      <c r="C18" s="16"/>
      <c r="D18" s="17" t="s">
        <v>27</v>
      </c>
      <c r="E18" s="16"/>
      <c r="F18" s="18" t="n">
        <f aca="false">C18*E18</f>
        <v>0</v>
      </c>
    </row>
    <row r="19" customFormat="false" ht="15" hidden="true" customHeight="true" outlineLevel="0" collapsed="false">
      <c r="A19" s="15" t="s">
        <v>36</v>
      </c>
      <c r="B19" s="15"/>
      <c r="C19" s="16"/>
      <c r="D19" s="17" t="s">
        <v>27</v>
      </c>
      <c r="E19" s="16"/>
      <c r="F19" s="18" t="n">
        <f aca="false">C19*E19</f>
        <v>0</v>
      </c>
    </row>
    <row r="20" customFormat="false" ht="15" hidden="true" customHeight="true" outlineLevel="0" collapsed="false">
      <c r="A20" s="15" t="s">
        <v>37</v>
      </c>
      <c r="B20" s="15"/>
      <c r="C20" s="16"/>
      <c r="D20" s="17" t="s">
        <v>27</v>
      </c>
      <c r="E20" s="16"/>
      <c r="F20" s="18" t="n">
        <f aca="false">C20*E20</f>
        <v>0</v>
      </c>
    </row>
    <row r="21" customFormat="false" ht="15" hidden="true" customHeight="true" outlineLevel="0" collapsed="false">
      <c r="A21" s="15" t="s">
        <v>38</v>
      </c>
      <c r="B21" s="15"/>
      <c r="C21" s="16"/>
      <c r="D21" s="17" t="s">
        <v>27</v>
      </c>
      <c r="E21" s="16"/>
      <c r="F21" s="18" t="n">
        <f aca="false">C21*E21</f>
        <v>0</v>
      </c>
    </row>
    <row r="22" customFormat="false" ht="15" hidden="true" customHeight="true" outlineLevel="0" collapsed="false">
      <c r="A22" s="15" t="s">
        <v>39</v>
      </c>
      <c r="B22" s="15"/>
      <c r="C22" s="16"/>
      <c r="D22" s="17" t="s">
        <v>27</v>
      </c>
      <c r="E22" s="16"/>
      <c r="F22" s="18" t="n">
        <f aca="false">C22*E22</f>
        <v>0</v>
      </c>
    </row>
    <row r="23" customFormat="false" ht="15" hidden="true" customHeight="true" outlineLevel="0" collapsed="false">
      <c r="A23" s="15" t="s">
        <v>40</v>
      </c>
      <c r="B23" s="15"/>
      <c r="C23" s="16"/>
      <c r="D23" s="17" t="s">
        <v>27</v>
      </c>
      <c r="E23" s="16"/>
      <c r="F23" s="18" t="n">
        <f aca="false">C23*E23</f>
        <v>0</v>
      </c>
    </row>
    <row r="24" customFormat="false" ht="15" hidden="true" customHeight="true" outlineLevel="0" collapsed="false">
      <c r="A24" s="15" t="s">
        <v>41</v>
      </c>
      <c r="B24" s="15"/>
      <c r="C24" s="16"/>
      <c r="D24" s="17" t="s">
        <v>32</v>
      </c>
      <c r="E24" s="16"/>
      <c r="F24" s="18" t="n">
        <f aca="false">C24*E24</f>
        <v>0</v>
      </c>
    </row>
    <row r="25" customFormat="false" ht="15" hidden="true" customHeight="true" outlineLevel="0" collapsed="false">
      <c r="A25" s="15" t="s">
        <v>42</v>
      </c>
      <c r="B25" s="15"/>
      <c r="C25" s="16"/>
      <c r="D25" s="17"/>
      <c r="E25" s="16"/>
      <c r="F25" s="18" t="n">
        <f aca="false">C25*E25</f>
        <v>0</v>
      </c>
    </row>
    <row r="26" customFormat="false" ht="15" hidden="true" customHeight="true" outlineLevel="0" collapsed="false">
      <c r="A26" s="15" t="s">
        <v>43</v>
      </c>
      <c r="B26" s="15"/>
      <c r="C26" s="16"/>
      <c r="D26" s="17" t="s">
        <v>32</v>
      </c>
      <c r="E26" s="16"/>
      <c r="F26" s="18"/>
    </row>
    <row r="27" customFormat="false" ht="15" hidden="false" customHeight="true" outlineLevel="0" collapsed="false">
      <c r="A27" s="15" t="s">
        <v>44</v>
      </c>
      <c r="B27" s="15"/>
      <c r="C27" s="20" t="n">
        <v>0.02</v>
      </c>
      <c r="D27" s="17"/>
      <c r="E27" s="16"/>
      <c r="F27" s="18" t="n">
        <f aca="false">C27*SUM(F11:F24)</f>
        <v>0</v>
      </c>
    </row>
    <row r="28" customFormat="false" ht="15" hidden="false" customHeight="true" outlineLevel="0" collapsed="false">
      <c r="A28" s="15" t="s">
        <v>94</v>
      </c>
      <c r="B28" s="15"/>
      <c r="C28" s="16" t="n">
        <v>1</v>
      </c>
      <c r="D28" s="17"/>
      <c r="E28" s="16"/>
      <c r="F28" s="18" t="n">
        <f aca="false">C28*E28</f>
        <v>0</v>
      </c>
    </row>
    <row r="29" customFormat="false" ht="15" hidden="true" customHeight="true" outlineLevel="0" collapsed="false">
      <c r="A29" s="15" t="s">
        <v>46</v>
      </c>
      <c r="B29" s="15"/>
      <c r="C29" s="16"/>
      <c r="D29" s="17"/>
      <c r="E29" s="16"/>
      <c r="F29" s="18" t="n">
        <f aca="false">C29*E29</f>
        <v>0</v>
      </c>
    </row>
    <row r="30" customFormat="false" ht="15" hidden="true" customHeight="true" outlineLevel="0" collapsed="false">
      <c r="A30" s="15" t="s">
        <v>47</v>
      </c>
      <c r="B30" s="15"/>
      <c r="C30" s="16"/>
      <c r="D30" s="17"/>
      <c r="E30" s="16"/>
      <c r="F30" s="18" t="n">
        <f aca="false">C30*E30</f>
        <v>0</v>
      </c>
    </row>
    <row r="31" customFormat="false" ht="15" hidden="true" customHeight="true" outlineLevel="0" collapsed="false">
      <c r="A31" s="15" t="s">
        <v>48</v>
      </c>
      <c r="B31" s="15"/>
      <c r="C31" s="16"/>
      <c r="D31" s="17" t="s">
        <v>49</v>
      </c>
      <c r="E31" s="16"/>
      <c r="F31" s="18" t="n">
        <f aca="false">C31*E31</f>
        <v>0</v>
      </c>
    </row>
    <row r="32" customFormat="false" ht="15" hidden="true" customHeight="true" outlineLevel="0" collapsed="false">
      <c r="A32" s="15" t="s">
        <v>50</v>
      </c>
      <c r="B32" s="15"/>
      <c r="C32" s="16"/>
      <c r="D32" s="17" t="s">
        <v>27</v>
      </c>
      <c r="E32" s="16"/>
      <c r="F32" s="18" t="n">
        <f aca="false">C32*E32</f>
        <v>0</v>
      </c>
    </row>
    <row r="33" customFormat="false" ht="15" hidden="false" customHeight="true" outlineLevel="0" collapsed="false">
      <c r="A33" s="15" t="s">
        <v>51</v>
      </c>
      <c r="B33" s="15"/>
      <c r="C33" s="16" t="n">
        <v>1</v>
      </c>
      <c r="D33" s="17" t="s">
        <v>27</v>
      </c>
      <c r="E33" s="16"/>
      <c r="F33" s="18" t="n">
        <f aca="false">C33*E33</f>
        <v>0</v>
      </c>
    </row>
    <row r="34" customFormat="false" ht="15" hidden="true" customHeight="true" outlineLevel="0" collapsed="false">
      <c r="A34" s="15" t="s">
        <v>52</v>
      </c>
      <c r="B34" s="15"/>
      <c r="C34" s="16"/>
      <c r="D34" s="17" t="s">
        <v>27</v>
      </c>
      <c r="E34" s="16"/>
      <c r="F34" s="18" t="n">
        <f aca="false">C34*E34</f>
        <v>0</v>
      </c>
    </row>
    <row r="35" customFormat="false" ht="15" hidden="false" customHeight="true" outlineLevel="0" collapsed="false">
      <c r="A35" s="15" t="s">
        <v>53</v>
      </c>
      <c r="B35" s="15"/>
      <c r="C35" s="16" t="n">
        <v>1</v>
      </c>
      <c r="D35" s="17" t="s">
        <v>27</v>
      </c>
      <c r="E35" s="16"/>
      <c r="F35" s="18" t="n">
        <f aca="false">C35*E35</f>
        <v>0</v>
      </c>
    </row>
    <row r="36" customFormat="false" ht="15" hidden="false" customHeight="true" outlineLevel="0" collapsed="false">
      <c r="A36" s="15" t="s">
        <v>54</v>
      </c>
      <c r="B36" s="15"/>
      <c r="C36" s="20" t="n">
        <v>0.08</v>
      </c>
      <c r="D36" s="17"/>
      <c r="E36" s="16"/>
      <c r="F36" s="18" t="n">
        <f aca="false">C36*F35</f>
        <v>0</v>
      </c>
    </row>
    <row r="37" customFormat="false" ht="15" hidden="false" customHeight="true" outlineLevel="0" collapsed="false">
      <c r="A37" s="21" t="s">
        <v>55</v>
      </c>
      <c r="B37" s="21"/>
      <c r="C37" s="16" t="n">
        <v>1</v>
      </c>
      <c r="D37" s="22"/>
      <c r="E37" s="16"/>
      <c r="F37" s="18" t="n">
        <f aca="false">C37*E37</f>
        <v>0</v>
      </c>
    </row>
    <row r="38" customFormat="false" ht="15" hidden="true" customHeight="true" outlineLevel="0" collapsed="false">
      <c r="A38" s="21" t="s">
        <v>56</v>
      </c>
      <c r="B38" s="21"/>
      <c r="C38" s="23"/>
      <c r="D38" s="22"/>
      <c r="E38" s="23"/>
      <c r="F38" s="18" t="n">
        <f aca="false">C38*E38</f>
        <v>0</v>
      </c>
    </row>
    <row r="39" customFormat="false" ht="15" hidden="true" customHeight="true" outlineLevel="0" collapsed="false">
      <c r="A39" s="21" t="s">
        <v>57</v>
      </c>
      <c r="B39" s="21"/>
      <c r="C39" s="23"/>
      <c r="D39" s="22"/>
      <c r="E39" s="23"/>
      <c r="F39" s="18" t="n">
        <f aca="false">C39*E39</f>
        <v>0</v>
      </c>
    </row>
    <row r="40" customFormat="false" ht="15" hidden="true" customHeight="true" outlineLevel="0" collapsed="false">
      <c r="A40" s="21" t="s">
        <v>58</v>
      </c>
      <c r="B40" s="21"/>
      <c r="C40" s="23"/>
      <c r="D40" s="22"/>
      <c r="E40" s="23"/>
      <c r="F40" s="18" t="n">
        <f aca="false">C40*E40</f>
        <v>0</v>
      </c>
    </row>
    <row r="41" customFormat="false" ht="13.9" hidden="false" customHeight="true" outlineLevel="0" collapsed="false">
      <c r="A41" s="21" t="s">
        <v>59</v>
      </c>
      <c r="B41" s="21"/>
      <c r="C41" s="23" t="n">
        <v>1</v>
      </c>
      <c r="D41" s="22" t="s">
        <v>32</v>
      </c>
      <c r="E41" s="23"/>
      <c r="F41" s="18" t="n">
        <f aca="false">C41*E41</f>
        <v>0</v>
      </c>
    </row>
    <row r="42" customFormat="false" ht="15" hidden="false" customHeight="true" outlineLevel="0" collapsed="false">
      <c r="A42" s="21" t="s">
        <v>60</v>
      </c>
      <c r="B42" s="21"/>
      <c r="C42" s="23" t="n">
        <v>1</v>
      </c>
      <c r="D42" s="22" t="s">
        <v>32</v>
      </c>
      <c r="E42" s="23" t="n">
        <v>6</v>
      </c>
      <c r="F42" s="18" t="n">
        <f aca="false">C42*E42</f>
        <v>6</v>
      </c>
    </row>
    <row r="43" customFormat="false" ht="15" hidden="false" customHeight="true" outlineLevel="0" collapsed="false">
      <c r="A43" s="24" t="s">
        <v>95</v>
      </c>
      <c r="B43" s="24"/>
      <c r="C43" s="23" t="n">
        <v>1</v>
      </c>
      <c r="D43" s="17" t="s">
        <v>49</v>
      </c>
      <c r="E43" s="25"/>
      <c r="F43" s="18" t="n">
        <f aca="false">C43*E43</f>
        <v>0</v>
      </c>
    </row>
    <row r="44" customFormat="false" ht="15" hidden="true" customHeight="true" outlineLevel="0" collapsed="false">
      <c r="A44" s="24" t="s">
        <v>62</v>
      </c>
      <c r="B44" s="24"/>
      <c r="C44" s="23"/>
      <c r="D44" s="17" t="s">
        <v>49</v>
      </c>
      <c r="E44" s="23"/>
      <c r="F44" s="18"/>
    </row>
    <row r="45" customFormat="false" ht="15" hidden="false" customHeight="true" outlineLevel="0" collapsed="false">
      <c r="A45" s="24" t="s">
        <v>96</v>
      </c>
      <c r="B45" s="24"/>
      <c r="C45" s="23" t="n">
        <v>1</v>
      </c>
      <c r="D45" s="17" t="s">
        <v>49</v>
      </c>
      <c r="E45" s="25"/>
      <c r="F45" s="18" t="n">
        <f aca="false">C45*E45</f>
        <v>0</v>
      </c>
    </row>
    <row r="46" customFormat="false" ht="15" hidden="true" customHeight="true" outlineLevel="0" collapsed="false">
      <c r="A46" s="24" t="s">
        <v>65</v>
      </c>
      <c r="B46" s="24"/>
      <c r="C46" s="23"/>
      <c r="D46" s="17" t="s">
        <v>49</v>
      </c>
      <c r="E46" s="23"/>
      <c r="F46" s="18" t="n">
        <f aca="false">C46*E46</f>
        <v>0</v>
      </c>
    </row>
    <row r="47" customFormat="false" ht="15" hidden="true" customHeight="true" outlineLevel="0" collapsed="false">
      <c r="A47" s="24" t="s">
        <v>66</v>
      </c>
      <c r="B47" s="24"/>
      <c r="C47" s="23"/>
      <c r="D47" s="17" t="s">
        <v>49</v>
      </c>
      <c r="E47" s="23"/>
      <c r="F47" s="18" t="n">
        <f aca="false">C47*E47</f>
        <v>0</v>
      </c>
    </row>
    <row r="48" customFormat="false" ht="15" hidden="false" customHeight="true" outlineLevel="0" collapsed="false">
      <c r="A48" s="24" t="s">
        <v>97</v>
      </c>
      <c r="B48" s="24"/>
      <c r="C48" s="23" t="n">
        <v>1</v>
      </c>
      <c r="D48" s="17" t="s">
        <v>49</v>
      </c>
      <c r="E48" s="25"/>
      <c r="F48" s="18" t="n">
        <f aca="false">C48*E48</f>
        <v>0</v>
      </c>
    </row>
    <row r="49" customFormat="false" ht="15" hidden="true" customHeight="true" outlineLevel="0" collapsed="false">
      <c r="A49" s="24" t="s">
        <v>68</v>
      </c>
      <c r="B49" s="24"/>
      <c r="C49" s="23"/>
      <c r="D49" s="17" t="s">
        <v>27</v>
      </c>
      <c r="E49" s="23"/>
      <c r="F49" s="18" t="n">
        <f aca="false">C49*E49</f>
        <v>0</v>
      </c>
    </row>
    <row r="50" customFormat="false" ht="15" hidden="false" customHeight="true" outlineLevel="0" collapsed="false">
      <c r="A50" s="24" t="s">
        <v>98</v>
      </c>
      <c r="B50" s="24"/>
      <c r="C50" s="23" t="n">
        <v>1</v>
      </c>
      <c r="D50" s="17" t="s">
        <v>49</v>
      </c>
      <c r="E50" s="25"/>
      <c r="F50" s="18" t="n">
        <f aca="false">C50*E50</f>
        <v>0</v>
      </c>
    </row>
    <row r="51" customFormat="false" ht="15" hidden="true" customHeight="true" outlineLevel="0" collapsed="false">
      <c r="A51" s="24" t="s">
        <v>70</v>
      </c>
      <c r="B51" s="24"/>
      <c r="C51" s="23"/>
      <c r="D51" s="17" t="s">
        <v>32</v>
      </c>
      <c r="E51" s="23"/>
      <c r="F51" s="18" t="n">
        <f aca="false">C51*E51</f>
        <v>0</v>
      </c>
    </row>
    <row r="52" customFormat="false" ht="15" hidden="true" customHeight="true" outlineLevel="0" collapsed="false">
      <c r="A52" s="24" t="s">
        <v>71</v>
      </c>
      <c r="B52" s="24"/>
      <c r="C52" s="23"/>
      <c r="D52" s="17" t="s">
        <v>32</v>
      </c>
      <c r="E52" s="16"/>
      <c r="F52" s="18" t="n">
        <f aca="false">C52*E52</f>
        <v>0</v>
      </c>
    </row>
    <row r="53" customFormat="false" ht="15" hidden="true" customHeight="true" outlineLevel="0" collapsed="false">
      <c r="A53" s="24" t="s">
        <v>72</v>
      </c>
      <c r="B53" s="24"/>
      <c r="C53" s="23"/>
      <c r="D53" s="17" t="s">
        <v>49</v>
      </c>
      <c r="E53" s="16"/>
      <c r="F53" s="18" t="n">
        <f aca="false">C53*E53</f>
        <v>0</v>
      </c>
    </row>
    <row r="54" customFormat="false" ht="15" hidden="false" customHeight="true" outlineLevel="0" collapsed="false">
      <c r="A54" s="24" t="s">
        <v>73</v>
      </c>
      <c r="B54" s="24"/>
      <c r="C54" s="26" t="n">
        <v>1</v>
      </c>
      <c r="D54" s="17"/>
      <c r="E54" s="23"/>
      <c r="F54" s="18" t="n">
        <f aca="false">C54*E54</f>
        <v>0</v>
      </c>
    </row>
    <row r="55" customFormat="false" ht="15" hidden="true" customHeight="true" outlineLevel="0" collapsed="false">
      <c r="A55" s="24" t="s">
        <v>74</v>
      </c>
      <c r="B55" s="24"/>
      <c r="C55" s="26"/>
      <c r="D55" s="17"/>
      <c r="E55" s="23"/>
      <c r="F55" s="18" t="n">
        <f aca="false">C55*E55</f>
        <v>0</v>
      </c>
    </row>
    <row r="56" customFormat="false" ht="15" hidden="true" customHeight="true" outlineLevel="0" collapsed="false">
      <c r="A56" s="24" t="s">
        <v>75</v>
      </c>
      <c r="B56" s="24"/>
      <c r="C56" s="26"/>
      <c r="D56" s="17" t="s">
        <v>32</v>
      </c>
      <c r="E56" s="23"/>
      <c r="F56" s="18" t="n">
        <f aca="false">C56*E56</f>
        <v>0</v>
      </c>
    </row>
    <row r="57" customFormat="false" ht="15" hidden="true" customHeight="true" outlineLevel="0" collapsed="false">
      <c r="A57" s="27" t="s">
        <v>76</v>
      </c>
      <c r="B57" s="27"/>
      <c r="C57" s="16"/>
      <c r="D57" s="28" t="s">
        <v>77</v>
      </c>
      <c r="E57" s="16" t="n">
        <v>60</v>
      </c>
      <c r="F57" s="18" t="n">
        <f aca="false">C57*E57</f>
        <v>0</v>
      </c>
    </row>
    <row r="58" customFormat="false" ht="15" hidden="false" customHeight="true" outlineLevel="0" collapsed="false">
      <c r="A58" s="27" t="s">
        <v>78</v>
      </c>
      <c r="B58" s="27"/>
      <c r="C58" s="16" t="n">
        <v>1</v>
      </c>
      <c r="D58" s="28" t="s">
        <v>27</v>
      </c>
      <c r="E58" s="16"/>
      <c r="F58" s="18" t="n">
        <f aca="false">C58*E58</f>
        <v>0</v>
      </c>
    </row>
    <row r="59" customFormat="false" ht="15" hidden="false" customHeight="true" outlineLevel="0" collapsed="false">
      <c r="A59" s="21" t="s">
        <v>79</v>
      </c>
      <c r="B59" s="21"/>
      <c r="C59" s="16" t="n">
        <v>1</v>
      </c>
      <c r="D59" s="28" t="s">
        <v>27</v>
      </c>
      <c r="E59" s="23"/>
      <c r="F59" s="18" t="n">
        <f aca="false">C59*E59</f>
        <v>0</v>
      </c>
    </row>
    <row r="60" customFormat="false" ht="15" hidden="false" customHeight="true" outlineLevel="0" collapsed="false">
      <c r="A60" s="21" t="s">
        <v>80</v>
      </c>
      <c r="B60" s="21"/>
      <c r="C60" s="16" t="n">
        <v>1</v>
      </c>
      <c r="D60" s="28" t="s">
        <v>27</v>
      </c>
      <c r="E60" s="23"/>
      <c r="F60" s="18" t="n">
        <f aca="false">C60*E60</f>
        <v>0</v>
      </c>
    </row>
    <row r="61" customFormat="false" ht="15" hidden="true" customHeight="true" outlineLevel="0" collapsed="false">
      <c r="A61" s="21" t="s">
        <v>81</v>
      </c>
      <c r="B61" s="21"/>
      <c r="C61" s="16"/>
      <c r="D61" s="28" t="s">
        <v>32</v>
      </c>
      <c r="E61" s="23" t="n">
        <v>22</v>
      </c>
      <c r="F61" s="18" t="n">
        <f aca="false">C61*E61</f>
        <v>0</v>
      </c>
    </row>
    <row r="62" customFormat="false" ht="15" hidden="true" customHeight="true" outlineLevel="0" collapsed="false">
      <c r="A62" s="21" t="s">
        <v>82</v>
      </c>
      <c r="B62" s="21"/>
      <c r="C62" s="16"/>
      <c r="D62" s="28" t="s">
        <v>32</v>
      </c>
      <c r="E62" s="23" t="n">
        <v>75</v>
      </c>
      <c r="F62" s="18" t="n">
        <f aca="false">C62*E62</f>
        <v>0</v>
      </c>
    </row>
    <row r="63" customFormat="false" ht="15" hidden="true" customHeight="true" outlineLevel="0" collapsed="false">
      <c r="A63" s="21" t="s">
        <v>83</v>
      </c>
      <c r="B63" s="21"/>
      <c r="C63" s="23"/>
      <c r="D63" s="28" t="s">
        <v>32</v>
      </c>
      <c r="E63" s="23" t="n">
        <v>20</v>
      </c>
      <c r="F63" s="18" t="n">
        <f aca="false">C63*E63</f>
        <v>0</v>
      </c>
    </row>
    <row r="64" customFormat="false" ht="15" hidden="false" customHeight="true" outlineLevel="0" collapsed="false">
      <c r="A64" s="21" t="s">
        <v>84</v>
      </c>
      <c r="B64" s="21"/>
      <c r="C64" s="16" t="n">
        <v>1</v>
      </c>
      <c r="D64" s="28" t="s">
        <v>27</v>
      </c>
      <c r="E64" s="16"/>
      <c r="F64" s="18" t="n">
        <f aca="false">C64*E64</f>
        <v>0</v>
      </c>
    </row>
    <row r="65" customFormat="false" ht="15" hidden="true" customHeight="true" outlineLevel="0" collapsed="false">
      <c r="A65" s="21" t="s">
        <v>85</v>
      </c>
      <c r="B65" s="21"/>
      <c r="C65" s="16"/>
      <c r="D65" s="28" t="s">
        <v>49</v>
      </c>
      <c r="E65" s="16"/>
      <c r="F65" s="18" t="n">
        <f aca="false">C65*E65</f>
        <v>0</v>
      </c>
    </row>
    <row r="66" customFormat="false" ht="15" hidden="true" customHeight="true" outlineLevel="0" collapsed="false">
      <c r="A66" s="21" t="s">
        <v>86</v>
      </c>
      <c r="B66" s="21"/>
      <c r="C66" s="16"/>
      <c r="D66" s="28" t="s">
        <v>27</v>
      </c>
      <c r="E66" s="16"/>
      <c r="F66" s="18" t="n">
        <f aca="false">C66*E66</f>
        <v>0</v>
      </c>
    </row>
    <row r="67" customFormat="false" ht="15" hidden="true" customHeight="true" outlineLevel="0" collapsed="false">
      <c r="A67" s="21" t="s">
        <v>87</v>
      </c>
      <c r="B67" s="21"/>
      <c r="C67" s="16"/>
      <c r="D67" s="28" t="s">
        <v>49</v>
      </c>
      <c r="E67" s="16"/>
      <c r="F67" s="18" t="n">
        <f aca="false">C67*E67</f>
        <v>0</v>
      </c>
    </row>
    <row r="68" customFormat="false" ht="15" hidden="true" customHeight="true" outlineLevel="0" collapsed="false">
      <c r="A68" s="21" t="s">
        <v>88</v>
      </c>
      <c r="B68" s="21"/>
      <c r="C68" s="16"/>
      <c r="D68" s="28" t="s">
        <v>49</v>
      </c>
      <c r="E68" s="16"/>
      <c r="F68" s="18" t="n">
        <f aca="false">C68*E68</f>
        <v>0</v>
      </c>
    </row>
    <row r="69" customFormat="false" ht="15" hidden="false" customHeight="true" outlineLevel="0" collapsed="false">
      <c r="A69" s="21" t="s">
        <v>89</v>
      </c>
      <c r="B69" s="21"/>
      <c r="C69" s="23" t="n">
        <v>1</v>
      </c>
      <c r="D69" s="28" t="s">
        <v>32</v>
      </c>
      <c r="E69" s="30" t="n">
        <v>20</v>
      </c>
      <c r="F69" s="18" t="n">
        <f aca="false">C69*E69</f>
        <v>20</v>
      </c>
    </row>
  </sheetData>
  <autoFilter ref="C10:E69"/>
  <mergeCells count="64">
    <mergeCell ref="A1:B1"/>
    <mergeCell ref="C1:D4"/>
    <mergeCell ref="A5:B5"/>
    <mergeCell ref="C5:E5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2020-03-13T08:57:58Z</dcterms:created>
  <dc:creator>Design</dc:creator>
  <dc:description/>
  <dc:language>en-US</dc:language>
  <cp:lastModifiedBy/>
  <cp:lastPrinted>2020-09-02T13:17:23Z</cp:lastPrinted>
  <dcterms:modified xsi:type="dcterms:W3CDTF">2026-03-11T17:01:24Z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