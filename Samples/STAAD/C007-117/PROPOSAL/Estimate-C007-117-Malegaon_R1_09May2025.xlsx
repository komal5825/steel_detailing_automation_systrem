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5.png" ContentType="image/png"/>
  <Override PartName="/xl/media/image6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B-Estimates" sheetId="1" state="visible" r:id="rId2"/>
    <sheet name="PEB-Estimates-Mezz" sheetId="2" state="hidden" r:id="rId3"/>
  </sheets>
  <definedNames>
    <definedName function="false" hidden="true" localSheetId="0" name="_xlnm._FilterDatabase" vbProcedure="false">'PEB-Estimates'!$C$10:$E$10</definedName>
    <definedName function="false" hidden="true" localSheetId="1" name="_xlnm._FilterDatabase" vbProcedure="false">'PEB-Estimates-Mezz'!$C$10:$E$10</definedName>
    <definedName function="false" hidden="false" name="__xlfn_IFERROR" vbProcedure="false">NA()</definedName>
    <definedName function="false" hidden="false" name="___xlfn_IFERROR" vbProcedure="false">NA()</definedName>
    <definedName function="false" hidden="false" localSheetId="0" name="_xlnm._FilterDatabase" vbProcedure="false">'PEB-Estimates'!$C$10:$E$24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</rPr>
          <t xml:space="preserve">Design:
</t>
        </r>
        <r>
          <rPr>
            <sz val="9"/>
            <color rgb="FF000000"/>
            <rFont val="Tahoma"/>
            <family val="2"/>
          </rPr>
          <t xml:space="preserve">Coil width of 1220 mm considered.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</rPr>
          <t xml:space="preserve">Design:
</t>
        </r>
        <r>
          <rPr>
            <sz val="9"/>
            <color rgb="FF000000"/>
            <rFont val="Tahoma"/>
            <family val="2"/>
          </rPr>
          <t xml:space="preserve">Coil width of 1220 mm considered.</t>
        </r>
      </text>
    </comment>
  </commentList>
</comments>
</file>

<file path=xl/sharedStrings.xml><?xml version="1.0" encoding="utf-8"?>
<sst xmlns="http://schemas.openxmlformats.org/spreadsheetml/2006/main" count="269" uniqueCount="100">
  <si>
    <t xml:space="preserve">C007-117</t>
  </si>
  <si>
    <t xml:space="preserve">Date:</t>
  </si>
  <si>
    <t xml:space="preserve">Location: </t>
  </si>
  <si>
    <t xml:space="preserve">Malegaon</t>
  </si>
  <si>
    <t xml:space="preserve">Designed by:</t>
  </si>
  <si>
    <t xml:space="preserve">AAB</t>
  </si>
  <si>
    <t xml:space="preserve">Building: </t>
  </si>
  <si>
    <t xml:space="preserve">Checked by:</t>
  </si>
  <si>
    <t xml:space="preserve">VVJ</t>
  </si>
  <si>
    <t xml:space="preserve">Option:  </t>
  </si>
  <si>
    <t xml:space="preserve">Revision:</t>
  </si>
  <si>
    <t xml:space="preserve">Total Weight in kg: </t>
  </si>
  <si>
    <t xml:space="preserve">Primary </t>
  </si>
  <si>
    <t xml:space="preserve">Kg</t>
  </si>
  <si>
    <t xml:space="preserve">Eave Height</t>
  </si>
  <si>
    <t xml:space="preserve">Secondary</t>
  </si>
  <si>
    <t xml:space="preserve">Area</t>
  </si>
  <si>
    <t xml:space="preserve">Sheeting</t>
  </si>
  <si>
    <t xml:space="preserve">Density(kg/m2)</t>
  </si>
  <si>
    <t xml:space="preserve">Accessories</t>
  </si>
  <si>
    <t xml:space="preserve">Density(kg/m3)</t>
  </si>
  <si>
    <t xml:space="preserve">Description</t>
  </si>
  <si>
    <t xml:space="preserve">Quantity</t>
  </si>
  <si>
    <t xml:space="preserve">Unit</t>
  </si>
  <si>
    <t xml:space="preserve">Unit Wt.</t>
  </si>
  <si>
    <t xml:space="preserve">Weight (kg)</t>
  </si>
  <si>
    <t xml:space="preserve">Primary Built-up I-Section</t>
  </si>
  <si>
    <t xml:space="preserve">Nos.</t>
  </si>
  <si>
    <t xml:space="preserve">Rigid Frame (Built-up I-Section) Intermediate frames</t>
  </si>
  <si>
    <t xml:space="preserve"> Endwall frames</t>
  </si>
  <si>
    <t xml:space="preserve">Partition column sets </t>
  </si>
  <si>
    <t xml:space="preserve">Strut/Tie members</t>
  </si>
  <si>
    <t xml:space="preserve">m</t>
  </si>
  <si>
    <t xml:space="preserve">Canopy rafters</t>
  </si>
  <si>
    <t xml:space="preserve">Eave extension rafters</t>
  </si>
  <si>
    <t xml:space="preserve">Roof monitor (Built-up I-Section) frames</t>
  </si>
  <si>
    <t xml:space="preserve">Backup beams &amp; Kicker members</t>
  </si>
  <si>
    <t xml:space="preserve">Portal bracing (Built-up I-Section)</t>
  </si>
  <si>
    <t xml:space="preserve">Mezzanine assembly (Built-up I-Section)</t>
  </si>
  <si>
    <t xml:space="preserve">Jack beam</t>
  </si>
  <si>
    <t xml:space="preserve">Crane brackets (Built-up I-Section)</t>
  </si>
  <si>
    <t xml:space="preserve">Crane beam (Built-up I-Section)</t>
  </si>
  <si>
    <t xml:space="preserve">Crane beam supports (Kicker angles, stopper, etc.)</t>
  </si>
  <si>
    <t xml:space="preserve">Walkways &amp; Handrail</t>
  </si>
  <si>
    <t xml:space="preserve">Endplate Connections (% of frame weight)</t>
  </si>
  <si>
    <t xml:space="preserve">Bracing @wall &amp; roof</t>
  </si>
  <si>
    <t xml:space="preserve">Angle Bracing</t>
  </si>
  <si>
    <t xml:space="preserve">Mezzanine/ Crane Bracing @wall </t>
  </si>
  <si>
    <t xml:space="preserve">Chequered plates</t>
  </si>
  <si>
    <t xml:space="preserve">sq m</t>
  </si>
  <si>
    <t xml:space="preserve">Anchor Bolts @ rigid frame</t>
  </si>
  <si>
    <t xml:space="preserve">Connection bolts &amp; accessories</t>
  </si>
  <si>
    <t xml:space="preserve">No of Cleats</t>
  </si>
  <si>
    <t xml:space="preserve">Flange Brace angles - 1000mm (Length)</t>
  </si>
  <si>
    <t xml:space="preserve">Flange Brace Connection (% of flange brace wt.)</t>
  </si>
  <si>
    <t xml:space="preserve">Purlins, Girts &amp; Eave struts</t>
  </si>
  <si>
    <t xml:space="preserve">Canopy Soffit secondary</t>
  </si>
  <si>
    <t xml:space="preserve">Roof monitor secondary</t>
  </si>
  <si>
    <t xml:space="preserve">Header arrangement of Valley gutter</t>
  </si>
  <si>
    <t xml:space="preserve">Header &amp; Jambs for opennings</t>
  </si>
  <si>
    <t xml:space="preserve">Mezzanine edge angles</t>
  </si>
  <si>
    <t xml:space="preserve">Roof  Sheeting </t>
  </si>
  <si>
    <t xml:space="preserve">Roof  Sheeting (Standing Seam panels)</t>
  </si>
  <si>
    <t xml:space="preserve">Wall Sheeting </t>
  </si>
  <si>
    <t xml:space="preserve">Partition sheeting</t>
  </si>
  <si>
    <t xml:space="preserve">Facia sheeting</t>
  </si>
  <si>
    <t xml:space="preserve">Canopy Sheeting </t>
  </si>
  <si>
    <t xml:space="preserve">Roof monitor sheeting</t>
  </si>
  <si>
    <t xml:space="preserve">Deck Sheeting</t>
  </si>
  <si>
    <t xml:space="preserve">Eave gutter</t>
  </si>
  <si>
    <t xml:space="preserve">Valley gutter</t>
  </si>
  <si>
    <t xml:space="preserve">Liner panels</t>
  </si>
  <si>
    <t xml:space="preserve">Standard trims</t>
  </si>
  <si>
    <t xml:space="preserve">Cage ladder</t>
  </si>
  <si>
    <t xml:space="preserve">Cable bracket</t>
  </si>
  <si>
    <t xml:space="preserve">Double sliding door (5.0 X 5.0)</t>
  </si>
  <si>
    <t xml:space="preserve">m2</t>
  </si>
  <si>
    <t xml:space="preserve">Roll up door </t>
  </si>
  <si>
    <t xml:space="preserve">SKY light (3.25 x 1.0m)</t>
  </si>
  <si>
    <t xml:space="preserve">Turbo-vent 600 mm dia. </t>
  </si>
  <si>
    <t xml:space="preserve">External Cage ladder using angles</t>
  </si>
  <si>
    <t xml:space="preserve">Internal Cage ladder using ISMC sections</t>
  </si>
  <si>
    <t xml:space="preserve">Ridge vent(0.6m wide throat )</t>
  </si>
  <si>
    <t xml:space="preserve">Staircase</t>
  </si>
  <si>
    <t xml:space="preserve">Bird mesh</t>
  </si>
  <si>
    <t xml:space="preserve">Louvers / Windows</t>
  </si>
  <si>
    <t xml:space="preserve">Puff panels</t>
  </si>
  <si>
    <t xml:space="preserve">Insulation sheets</t>
  </si>
  <si>
    <t xml:space="preserve">Hand rail (Standard)</t>
  </si>
  <si>
    <t xml:space="preserve">Cnnn-xxx</t>
  </si>
  <si>
    <t xml:space="preserve">Kg/m2</t>
  </si>
  <si>
    <t xml:space="preserve"> Bracing @wall &amp; roof</t>
  </si>
  <si>
    <t xml:space="preserve">Joist, Purlins, Girts &amp; Eave struts</t>
  </si>
  <si>
    <t xml:space="preserve">Roof  Sheeting (Aluzinc coated steel panels)</t>
  </si>
  <si>
    <t xml:space="preserve">Wall Sheeting (Aluzinc coated steel panels)</t>
  </si>
  <si>
    <t xml:space="preserve">Canopy Sheeting (Aluzinc coated steel panels)</t>
  </si>
  <si>
    <t xml:space="preserve">Deck Sheeting (0.7mm thick)</t>
  </si>
  <si>
    <t xml:space="preserve">Special trims</t>
  </si>
  <si>
    <t xml:space="preserve">Eave &amp; Gable angles</t>
  </si>
  <si>
    <t xml:space="preserve">Wall light (3.25 x 1.0m)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</si>
</sst>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 * #,##0.00\ ;\ * \(#,##0.00\);\ * \-#\ ;\ @\ "/>
    <numFmt numFmtId="166" formatCode="0%"/>
    <numFmt numFmtId="167" formatCode="0"/>
    <numFmt numFmtId="168" formatCode="dd\ mmmm\ yyyy"/>
    <numFmt numFmtId="169" formatCode="0.00"/>
    <numFmt numFmtId="170" formatCode="General"/>
  </numFmts>
  <fonts count="1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</font>
    <font>
      <sz val="10"/>
      <name val="Arial"/>
      <family val="2"/>
    </font>
    <font>
      <b val="true"/>
      <sz val="12.5"/>
      <name val="Calibri"/>
      <family val="2"/>
    </font>
    <font>
      <sz val="11"/>
      <color rgb="FFFFFFFF"/>
      <name val="Calibri"/>
      <family val="2"/>
    </font>
    <font>
      <b val="true"/>
      <sz val="11"/>
      <color rgb="FF000000"/>
      <name val="Calibri"/>
      <family val="2"/>
    </font>
    <font>
      <sz val="12"/>
      <name val="Calibri"/>
      <family val="2"/>
    </font>
    <font>
      <b val="true"/>
      <sz val="12"/>
      <color rgb="FF000000"/>
      <name val="Calibri"/>
      <family val="2"/>
    </font>
    <font>
      <i val="true"/>
      <sz val="11"/>
      <color rgb="FF000000"/>
      <name val="Calibri"/>
      <family val="2"/>
    </font>
    <font>
      <sz val="9"/>
      <color rgb="FF000000"/>
      <name val="Tahoma"/>
      <family val="2"/>
    </font>
    <font>
      <b val="true"/>
      <sz val="12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6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5" borderId="2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  <cellStyle name="Excel_BuiltIn_Note 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241920</xdr:colOff>
      <xdr:row>0</xdr:row>
      <xdr:rowOff>127080</xdr:rowOff>
    </xdr:from>
    <xdr:to>
      <xdr:col>3</xdr:col>
      <xdr:colOff>309960</xdr:colOff>
      <xdr:row>3</xdr:row>
      <xdr:rowOff>156960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488400" y="127080"/>
          <a:ext cx="874080" cy="69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242280</xdr:colOff>
      <xdr:row>0</xdr:row>
      <xdr:rowOff>127080</xdr:rowOff>
    </xdr:from>
    <xdr:to>
      <xdr:col>3</xdr:col>
      <xdr:colOff>309240</xdr:colOff>
      <xdr:row>4</xdr:row>
      <xdr:rowOff>11880</xdr:rowOff>
    </xdr:to>
    <xdr:pic>
      <xdr:nvPicPr>
        <xdr:cNvPr id="1" name="Picture 8" descr=""/>
        <xdr:cNvPicPr/>
      </xdr:nvPicPr>
      <xdr:blipFill>
        <a:blip r:embed="rId1"/>
        <a:stretch/>
      </xdr:blipFill>
      <xdr:spPr>
        <a:xfrm>
          <a:off x="3276000" y="127080"/>
          <a:ext cx="873000" cy="6084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8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1" width="33.87"/>
    <col collapsed="false" customWidth="true" hidden="false" outlineLevel="0" max="3" min="3" style="1" width="11.42"/>
    <col collapsed="false" customWidth="true" hidden="false" outlineLevel="0" max="4" min="4" style="1" width="7.41"/>
    <col collapsed="false" customWidth="true" hidden="false" outlineLevel="0" max="5" min="5" style="1" width="14.15"/>
    <col collapsed="false" customWidth="true" hidden="false" outlineLevel="0" max="6" min="6" style="1" width="17.86"/>
    <col collapsed="false" customWidth="false" hidden="false" outlineLevel="0" max="1012" min="7" style="2" width="8.57"/>
  </cols>
  <sheetData>
    <row r="1" customFormat="false" ht="15.6" hidden="false" customHeight="false" outlineLevel="0" collapsed="false">
      <c r="A1" s="3" t="s">
        <v>0</v>
      </c>
      <c r="B1" s="3"/>
      <c r="C1" s="4"/>
      <c r="D1" s="4"/>
      <c r="E1" s="5" t="s">
        <v>1</v>
      </c>
      <c r="F1" s="6" t="n">
        <v>45419</v>
      </c>
    </row>
    <row r="2" customFormat="false" ht="21" hidden="false" customHeight="true" outlineLevel="0" collapsed="false">
      <c r="A2" s="5" t="s">
        <v>2</v>
      </c>
      <c r="B2" s="5" t="s">
        <v>3</v>
      </c>
      <c r="C2" s="4"/>
      <c r="D2" s="4"/>
      <c r="E2" s="5" t="s">
        <v>4</v>
      </c>
      <c r="F2" s="7" t="s">
        <v>5</v>
      </c>
    </row>
    <row r="3" customFormat="false" ht="15.6" hidden="false" customHeight="true" outlineLevel="0" collapsed="false">
      <c r="A3" s="8" t="s">
        <v>6</v>
      </c>
      <c r="B3" s="8" t="n">
        <v>1</v>
      </c>
      <c r="C3" s="4"/>
      <c r="D3" s="4"/>
      <c r="E3" s="5" t="s">
        <v>7</v>
      </c>
      <c r="F3" s="7" t="s">
        <v>8</v>
      </c>
    </row>
    <row r="4" customFormat="false" ht="21" hidden="false" customHeight="tru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0</v>
      </c>
    </row>
    <row r="5" customFormat="false" ht="15.6" hidden="false" customHeight="false" outlineLevel="0" collapsed="false">
      <c r="A5" s="9" t="s">
        <v>11</v>
      </c>
      <c r="B5" s="9"/>
      <c r="C5" s="10" t="n">
        <f aca="false">SUM(F11:F69)</f>
        <v>166271.3</v>
      </c>
      <c r="D5" s="10"/>
      <c r="E5" s="10"/>
      <c r="F5" s="10"/>
    </row>
    <row r="6" customFormat="false" ht="15" hidden="false" customHeight="false" outlineLevel="0" collapsed="false">
      <c r="A6" s="11" t="s">
        <v>12</v>
      </c>
      <c r="B6" s="8" t="n">
        <f aca="false">SUM(F11:F36)</f>
        <v>107941.3</v>
      </c>
      <c r="C6" s="12" t="n">
        <f aca="false">B6/$F$7</f>
        <v>23.939077400754</v>
      </c>
      <c r="D6" s="12" t="s">
        <v>13</v>
      </c>
      <c r="E6" s="8" t="s">
        <v>14</v>
      </c>
      <c r="F6" s="13" t="n">
        <v>6.9</v>
      </c>
    </row>
    <row r="7" customFormat="false" ht="13.8" hidden="false" customHeight="false" outlineLevel="0" collapsed="false">
      <c r="A7" s="11" t="s">
        <v>15</v>
      </c>
      <c r="B7" s="8" t="n">
        <f aca="false">SUM(F37:F42)</f>
        <v>25350</v>
      </c>
      <c r="C7" s="12" t="n">
        <f aca="false">B7/$F$7</f>
        <v>5.62208915502329</v>
      </c>
      <c r="D7" s="12" t="s">
        <v>13</v>
      </c>
      <c r="E7" s="8" t="s">
        <v>16</v>
      </c>
      <c r="F7" s="7" t="n">
        <v>4509</v>
      </c>
    </row>
    <row r="8" customFormat="false" ht="15" hidden="false" customHeight="false" outlineLevel="0" collapsed="false">
      <c r="A8" s="11" t="s">
        <v>17</v>
      </c>
      <c r="B8" s="11" t="n">
        <f aca="false">SUM(F43:F53)</f>
        <v>27855</v>
      </c>
      <c r="C8" s="12" t="n">
        <f aca="false">B8/$F$7</f>
        <v>6.17764471057884</v>
      </c>
      <c r="D8" s="12" t="s">
        <v>13</v>
      </c>
      <c r="E8" s="8" t="s">
        <v>18</v>
      </c>
      <c r="F8" s="13" t="n">
        <f aca="false">C5/F7</f>
        <v>36.8754269239299</v>
      </c>
    </row>
    <row r="9" customFormat="false" ht="15" hidden="false" customHeight="false" outlineLevel="0" collapsed="false">
      <c r="A9" s="11" t="s">
        <v>19</v>
      </c>
      <c r="B9" s="8" t="n">
        <f aca="false">SUM(F54:F69)</f>
        <v>5125</v>
      </c>
      <c r="C9" s="12" t="n">
        <f aca="false">B9/$F$7</f>
        <v>1.13661565757374</v>
      </c>
      <c r="D9" s="12" t="s">
        <v>13</v>
      </c>
      <c r="E9" s="8" t="s">
        <v>20</v>
      </c>
      <c r="F9" s="13" t="n">
        <f aca="false">F8/F6</f>
        <v>5.34426477158405</v>
      </c>
    </row>
    <row r="10" customFormat="false" ht="1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8" t="n">
        <f aca="false">98985-4430</f>
        <v>94555</v>
      </c>
      <c r="F11" s="19" t="n">
        <f aca="false">C11*E11</f>
        <v>94555</v>
      </c>
      <c r="G11" s="2" t="n">
        <f aca="false">85412+16920</f>
        <v>102332</v>
      </c>
    </row>
    <row r="12" customFormat="false" ht="14.25" hidden="true" customHeight="true" outlineLevel="0" collapsed="false">
      <c r="A12" s="15" t="s">
        <v>28</v>
      </c>
      <c r="B12" s="15"/>
      <c r="C12" s="16"/>
      <c r="D12" s="17" t="s">
        <v>27</v>
      </c>
      <c r="E12" s="16"/>
      <c r="F12" s="19" t="n">
        <f aca="false">C12*E12</f>
        <v>0</v>
      </c>
    </row>
    <row r="13" s="20" customFormat="tru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9" t="n">
        <f aca="false">C13*E13</f>
        <v>0</v>
      </c>
      <c r="ALY13" s="21"/>
      <c r="ALZ13" s="21"/>
      <c r="AMA13" s="21"/>
      <c r="AMB13" s="21"/>
      <c r="AMC13" s="21"/>
      <c r="AMD13" s="21"/>
      <c r="AME13" s="21"/>
      <c r="AMF13" s="21"/>
      <c r="AMG13" s="21"/>
      <c r="AMH13" s="21"/>
      <c r="AMI13" s="21"/>
      <c r="AMJ13" s="21"/>
    </row>
    <row r="14" s="20" customFormat="tru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9" t="n">
        <f aca="false">C14*E14</f>
        <v>0</v>
      </c>
      <c r="ALY14" s="21"/>
      <c r="ALZ14" s="21"/>
      <c r="AMA14" s="21"/>
      <c r="AMB14" s="21"/>
      <c r="AMC14" s="21"/>
      <c r="AMD14" s="21"/>
      <c r="AME14" s="21"/>
      <c r="AMF14" s="21"/>
      <c r="AMG14" s="21"/>
      <c r="AMH14" s="21"/>
      <c r="AMI14" s="21"/>
      <c r="AMJ14" s="21"/>
    </row>
    <row r="15" s="20" customFormat="tru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9" t="n">
        <f aca="false">C15*E15</f>
        <v>0</v>
      </c>
      <c r="ALY15" s="21"/>
      <c r="ALZ15" s="21"/>
      <c r="AMA15" s="21"/>
      <c r="AMB15" s="21"/>
      <c r="AMC15" s="21"/>
      <c r="AMD15" s="21"/>
      <c r="AME15" s="21"/>
      <c r="AMF15" s="21"/>
      <c r="AMG15" s="21"/>
      <c r="AMH15" s="21"/>
      <c r="AMI15" s="21"/>
      <c r="AMJ15" s="21"/>
    </row>
    <row r="16" s="20" customFormat="tru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9" t="n">
        <f aca="false">C16*E16</f>
        <v>0</v>
      </c>
      <c r="ALY16" s="21"/>
      <c r="ALZ16" s="21"/>
      <c r="AMA16" s="21"/>
      <c r="AMB16" s="21"/>
      <c r="AMC16" s="21"/>
      <c r="AMD16" s="21"/>
      <c r="AME16" s="21"/>
      <c r="AMF16" s="21"/>
      <c r="AMG16" s="21"/>
      <c r="AMH16" s="21"/>
      <c r="AMI16" s="21"/>
      <c r="AMJ16" s="21"/>
    </row>
    <row r="17" s="20" customFormat="tru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9" t="n">
        <f aca="false">C17*E17</f>
        <v>0</v>
      </c>
      <c r="ALY17" s="21"/>
      <c r="ALZ17" s="21"/>
      <c r="AMA17" s="21"/>
      <c r="AMB17" s="21"/>
      <c r="AMC17" s="21"/>
      <c r="AMD17" s="21"/>
      <c r="AME17" s="21"/>
      <c r="AMF17" s="21"/>
      <c r="AMG17" s="21"/>
      <c r="AMH17" s="21"/>
      <c r="AMI17" s="21"/>
      <c r="AMJ17" s="21"/>
    </row>
    <row r="18" s="20" customFormat="tru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9" t="n">
        <f aca="false">C18*E18</f>
        <v>0</v>
      </c>
      <c r="ALY18" s="21"/>
      <c r="ALZ18" s="21"/>
      <c r="AMA18" s="21"/>
      <c r="AMB18" s="21"/>
      <c r="AMC18" s="21"/>
      <c r="AMD18" s="21"/>
      <c r="AME18" s="21"/>
      <c r="AMF18" s="21"/>
      <c r="AMG18" s="21"/>
      <c r="AMH18" s="21"/>
      <c r="AMI18" s="21"/>
      <c r="AMJ18" s="21"/>
    </row>
    <row r="19" s="20" customFormat="tru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9" t="n">
        <f aca="false">C19*E19</f>
        <v>0</v>
      </c>
      <c r="ALY19" s="21"/>
      <c r="ALZ19" s="21"/>
      <c r="AMA19" s="21"/>
      <c r="AMB19" s="21"/>
      <c r="AMC19" s="21"/>
      <c r="AMD19" s="21"/>
      <c r="AME19" s="21"/>
      <c r="AMF19" s="21"/>
      <c r="AMG19" s="21"/>
      <c r="AMH19" s="21"/>
      <c r="AMI19" s="21"/>
      <c r="AMJ19" s="21"/>
    </row>
    <row r="20" s="20" customFormat="tru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9" t="n">
        <f aca="false">C20*E20</f>
        <v>0</v>
      </c>
      <c r="ALY20" s="21"/>
      <c r="ALZ20" s="21"/>
      <c r="AMA20" s="21"/>
      <c r="AMB20" s="21"/>
      <c r="AMC20" s="21"/>
      <c r="AMD20" s="21"/>
      <c r="AME20" s="21"/>
      <c r="AMF20" s="21"/>
      <c r="AMG20" s="21"/>
      <c r="AMH20" s="21"/>
      <c r="AMI20" s="21"/>
      <c r="AMJ20" s="21"/>
    </row>
    <row r="21" s="20" customFormat="tru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9" t="n">
        <f aca="false">C21*E21</f>
        <v>0</v>
      </c>
      <c r="ALY21" s="21"/>
      <c r="ALZ21" s="21"/>
      <c r="AMA21" s="21"/>
      <c r="AMB21" s="21"/>
      <c r="AMC21" s="21"/>
      <c r="AMD21" s="21"/>
      <c r="AME21" s="21"/>
      <c r="AMF21" s="21"/>
      <c r="AMG21" s="21"/>
      <c r="AMH21" s="21"/>
      <c r="AMI21" s="21"/>
      <c r="AMJ21" s="21"/>
    </row>
    <row r="22" s="20" customFormat="tru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9" t="n">
        <f aca="false">C22*E22</f>
        <v>0</v>
      </c>
      <c r="ALY22" s="21"/>
      <c r="ALZ22" s="21"/>
      <c r="AMA22" s="21"/>
      <c r="AMB22" s="21"/>
      <c r="AMC22" s="21"/>
      <c r="AMD22" s="21"/>
      <c r="AME22" s="21"/>
      <c r="AMF22" s="21"/>
      <c r="AMG22" s="21"/>
      <c r="AMH22" s="21"/>
      <c r="AMI22" s="21"/>
      <c r="AMJ22" s="21"/>
    </row>
    <row r="23" s="20" customFormat="tru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9" t="n">
        <f aca="false">C23*E23</f>
        <v>0</v>
      </c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</row>
    <row r="24" s="20" customFormat="tru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9" t="n">
        <f aca="false">C24*E24</f>
        <v>0</v>
      </c>
      <c r="ALY24" s="21"/>
      <c r="ALZ24" s="21"/>
      <c r="AMA24" s="21"/>
      <c r="AMB24" s="21"/>
      <c r="AMC24" s="21"/>
      <c r="AMD24" s="21"/>
      <c r="AME24" s="21"/>
      <c r="AMF24" s="21"/>
      <c r="AMG24" s="21"/>
      <c r="AMH24" s="21"/>
      <c r="AMI24" s="21"/>
      <c r="AMJ24" s="21"/>
    </row>
    <row r="25" s="20" customFormat="true" ht="16.5" hidden="true" customHeight="true" outlineLevel="0" collapsed="false">
      <c r="A25" s="15" t="s">
        <v>42</v>
      </c>
      <c r="B25" s="15"/>
      <c r="C25" s="16"/>
      <c r="D25" s="17"/>
      <c r="E25" s="16"/>
      <c r="F25" s="19" t="n">
        <f aca="false">C25*E25</f>
        <v>0</v>
      </c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</row>
    <row r="26" s="20" customFormat="tru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9"/>
      <c r="ALY26" s="21"/>
      <c r="ALZ26" s="21"/>
      <c r="AMA26" s="21"/>
      <c r="AMB26" s="21"/>
      <c r="AMC26" s="21"/>
      <c r="AMD26" s="21"/>
      <c r="AME26" s="21"/>
      <c r="AMF26" s="21"/>
      <c r="AMG26" s="21"/>
      <c r="AMH26" s="21"/>
      <c r="AMI26" s="21"/>
      <c r="AMJ26" s="21"/>
    </row>
    <row r="27" s="20" customFormat="true" ht="15" hidden="false" customHeight="true" outlineLevel="0" collapsed="false">
      <c r="A27" s="15" t="s">
        <v>44</v>
      </c>
      <c r="B27" s="15"/>
      <c r="C27" s="22" t="n">
        <v>0.02</v>
      </c>
      <c r="D27" s="17"/>
      <c r="E27" s="16"/>
      <c r="F27" s="19" t="n">
        <f aca="false">C27*SUM(F11:F24)</f>
        <v>1891.1</v>
      </c>
      <c r="ALY27" s="21"/>
      <c r="ALZ27" s="21"/>
      <c r="AMA27" s="21"/>
      <c r="AMB27" s="21"/>
      <c r="AMC27" s="21"/>
      <c r="AMD27" s="21"/>
      <c r="AME27" s="21"/>
      <c r="AMF27" s="21"/>
      <c r="AMG27" s="21"/>
      <c r="AMH27" s="21"/>
      <c r="AMI27" s="21"/>
      <c r="AMJ27" s="21"/>
    </row>
    <row r="28" s="20" customFormat="true" ht="15" hidden="false" customHeight="true" outlineLevel="0" collapsed="false">
      <c r="A28" s="15" t="s">
        <v>45</v>
      </c>
      <c r="B28" s="15"/>
      <c r="C28" s="16" t="n">
        <v>1</v>
      </c>
      <c r="D28" s="17"/>
      <c r="E28" s="18" t="n">
        <v>4090</v>
      </c>
      <c r="F28" s="19" t="n">
        <f aca="false">C28*E28</f>
        <v>4090</v>
      </c>
      <c r="G28" s="23" t="n">
        <f aca="false">3365+675</f>
        <v>4040</v>
      </c>
      <c r="ALY28" s="21"/>
      <c r="ALZ28" s="21"/>
      <c r="AMA28" s="21"/>
      <c r="AMB28" s="21"/>
      <c r="AMC28" s="21"/>
      <c r="AMD28" s="21"/>
      <c r="AME28" s="21"/>
      <c r="AMF28" s="21"/>
      <c r="AMG28" s="21"/>
      <c r="AMH28" s="21"/>
      <c r="AMI28" s="21"/>
      <c r="AMJ28" s="21"/>
    </row>
    <row r="29" s="20" customFormat="true" ht="15" hidden="true" customHeight="true" outlineLevel="0" collapsed="false">
      <c r="A29" s="15" t="s">
        <v>46</v>
      </c>
      <c r="B29" s="15"/>
      <c r="C29" s="16"/>
      <c r="D29" s="17"/>
      <c r="E29" s="16"/>
      <c r="F29" s="19" t="n">
        <f aca="false">C29*E29</f>
        <v>0</v>
      </c>
      <c r="ALY29" s="21"/>
      <c r="ALZ29" s="21"/>
      <c r="AMA29" s="21"/>
      <c r="AMB29" s="21"/>
      <c r="AMC29" s="21"/>
      <c r="AMD29" s="21"/>
      <c r="AME29" s="21"/>
      <c r="AMF29" s="21"/>
      <c r="AMG29" s="21"/>
      <c r="AMH29" s="21"/>
      <c r="AMI29" s="21"/>
      <c r="AMJ29" s="21"/>
    </row>
    <row r="30" s="20" customFormat="true" ht="15" hidden="true" customHeight="true" outlineLevel="0" collapsed="false">
      <c r="A30" s="15" t="s">
        <v>47</v>
      </c>
      <c r="B30" s="15"/>
      <c r="C30" s="16"/>
      <c r="D30" s="17"/>
      <c r="E30" s="16"/>
      <c r="F30" s="19" t="n">
        <f aca="false">C30*E30</f>
        <v>0</v>
      </c>
      <c r="ALY30" s="21"/>
      <c r="ALZ30" s="21"/>
      <c r="AMA30" s="21"/>
      <c r="AMB30" s="21"/>
      <c r="AMC30" s="21"/>
      <c r="AMD30" s="21"/>
      <c r="AME30" s="21"/>
      <c r="AMF30" s="21"/>
      <c r="AMG30" s="21"/>
      <c r="AMH30" s="21"/>
      <c r="AMI30" s="21"/>
      <c r="AMJ30" s="21"/>
    </row>
    <row r="31" s="20" customFormat="true" ht="15" hidden="true" customHeight="true" outlineLevel="0" collapsed="false">
      <c r="A31" s="15" t="s">
        <v>48</v>
      </c>
      <c r="B31" s="15"/>
      <c r="C31" s="16"/>
      <c r="D31" s="17" t="s">
        <v>49</v>
      </c>
      <c r="E31" s="16"/>
      <c r="F31" s="19" t="n">
        <f aca="false">C31*E31</f>
        <v>0</v>
      </c>
      <c r="ALY31" s="21"/>
      <c r="ALZ31" s="21"/>
      <c r="AMA31" s="21"/>
      <c r="AMB31" s="21"/>
      <c r="AMC31" s="21"/>
      <c r="AMD31" s="21"/>
      <c r="AME31" s="21"/>
      <c r="AMF31" s="21"/>
      <c r="AMG31" s="21"/>
      <c r="AMH31" s="21"/>
      <c r="AMI31" s="21"/>
      <c r="AMJ31" s="21"/>
    </row>
    <row r="32" s="20" customFormat="tru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9" t="n">
        <f aca="false">C32*E32</f>
        <v>0</v>
      </c>
      <c r="ALY32" s="21"/>
      <c r="ALZ32" s="21"/>
      <c r="AMA32" s="21"/>
      <c r="AMB32" s="21"/>
      <c r="AMC32" s="21"/>
      <c r="AMD32" s="21"/>
      <c r="AME32" s="21"/>
      <c r="AMF32" s="21"/>
      <c r="AMG32" s="21"/>
      <c r="AMH32" s="21"/>
      <c r="AMI32" s="21"/>
      <c r="AMJ32" s="21"/>
    </row>
    <row r="33" s="20" customFormat="tru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8" t="n">
        <f aca="false">2060+200+80</f>
        <v>2340</v>
      </c>
      <c r="F33" s="19" t="n">
        <f aca="false">C33*E33</f>
        <v>2340</v>
      </c>
      <c r="G33" s="23" t="n">
        <f aca="false">1442+101+46+345+15+12</f>
        <v>1961</v>
      </c>
      <c r="ALY33" s="21"/>
      <c r="ALZ33" s="21"/>
      <c r="AMA33" s="21"/>
      <c r="AMB33" s="21"/>
      <c r="AMC33" s="21"/>
      <c r="AMD33" s="21"/>
      <c r="AME33" s="21"/>
      <c r="AMF33" s="21"/>
      <c r="AMG33" s="21"/>
      <c r="AMH33" s="21"/>
      <c r="AMI33" s="21"/>
      <c r="AMJ33" s="21"/>
    </row>
    <row r="34" s="20" customFormat="tru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9" t="n">
        <f aca="false">C34*E34</f>
        <v>0</v>
      </c>
      <c r="ALY34" s="21"/>
      <c r="ALZ34" s="21"/>
      <c r="AMA34" s="21"/>
      <c r="AMB34" s="21"/>
      <c r="AMC34" s="21"/>
      <c r="AMD34" s="21"/>
      <c r="AME34" s="21"/>
      <c r="AMF34" s="21"/>
      <c r="AMG34" s="21"/>
      <c r="AMH34" s="21"/>
      <c r="AMI34" s="21"/>
      <c r="AMJ34" s="21"/>
    </row>
    <row r="35" s="20" customFormat="tru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8" t="n">
        <v>4690</v>
      </c>
      <c r="F35" s="19" t="n">
        <f aca="false">C35*E35</f>
        <v>4690</v>
      </c>
      <c r="G35" s="23" t="n">
        <f aca="false">3298+796</f>
        <v>4094</v>
      </c>
      <c r="ALY35" s="21"/>
      <c r="ALZ35" s="21"/>
      <c r="AMA35" s="21"/>
      <c r="AMB35" s="21"/>
      <c r="AMC35" s="21"/>
      <c r="AMD35" s="21"/>
      <c r="AME35" s="21"/>
      <c r="AMF35" s="21"/>
      <c r="AMG35" s="21"/>
      <c r="AMH35" s="21"/>
      <c r="AMI35" s="21"/>
      <c r="AMJ35" s="21"/>
    </row>
    <row r="36" s="20" customFormat="true" ht="15" hidden="false" customHeight="true" outlineLevel="0" collapsed="false">
      <c r="A36" s="15" t="s">
        <v>54</v>
      </c>
      <c r="B36" s="15"/>
      <c r="C36" s="22" t="n">
        <v>0.08</v>
      </c>
      <c r="D36" s="17"/>
      <c r="E36" s="16"/>
      <c r="F36" s="19" t="n">
        <f aca="false">C36*F35</f>
        <v>375.2</v>
      </c>
      <c r="G36" s="23" t="n">
        <v>375</v>
      </c>
      <c r="ALY36" s="21"/>
      <c r="ALZ36" s="21"/>
      <c r="AMA36" s="21"/>
      <c r="AMB36" s="21"/>
      <c r="AMC36" s="21"/>
      <c r="AMD36" s="21"/>
      <c r="AME36" s="21"/>
      <c r="AMF36" s="21"/>
      <c r="AMG36" s="21"/>
      <c r="AMH36" s="21"/>
      <c r="AMI36" s="21"/>
      <c r="AMJ36" s="21"/>
    </row>
    <row r="37" s="20" customFormat="true" ht="15" hidden="false" customHeight="true" outlineLevel="0" collapsed="false">
      <c r="A37" s="24" t="s">
        <v>55</v>
      </c>
      <c r="B37" s="24"/>
      <c r="C37" s="16" t="n">
        <v>1</v>
      </c>
      <c r="D37" s="25"/>
      <c r="E37" s="18" t="n">
        <f aca="false">25290+610-1800</f>
        <v>24100</v>
      </c>
      <c r="F37" s="19" t="n">
        <f aca="false">C37*E37</f>
        <v>24100</v>
      </c>
      <c r="G37" s="23" t="n">
        <f aca="false">18520+4128</f>
        <v>22648</v>
      </c>
      <c r="ALY37" s="21"/>
      <c r="ALZ37" s="21"/>
      <c r="AMA37" s="21"/>
      <c r="AMB37" s="21"/>
      <c r="AMC37" s="21"/>
      <c r="AMD37" s="21"/>
      <c r="AME37" s="21"/>
      <c r="AMF37" s="21"/>
      <c r="AMG37" s="21"/>
      <c r="AMH37" s="21"/>
      <c r="AMI37" s="21"/>
      <c r="AMJ37" s="21"/>
    </row>
    <row r="38" customFormat="false" ht="15" hidden="true" customHeight="true" outlineLevel="0" collapsed="false">
      <c r="A38" s="24" t="s">
        <v>56</v>
      </c>
      <c r="B38" s="24"/>
      <c r="C38" s="18"/>
      <c r="D38" s="25"/>
      <c r="E38" s="18"/>
      <c r="F38" s="19" t="n">
        <f aca="false">C38*E38</f>
        <v>0</v>
      </c>
    </row>
    <row r="39" customFormat="false" ht="15" hidden="true" customHeight="true" outlineLevel="0" collapsed="false">
      <c r="A39" s="24" t="s">
        <v>57</v>
      </c>
      <c r="B39" s="24"/>
      <c r="C39" s="18"/>
      <c r="D39" s="25"/>
      <c r="E39" s="18"/>
      <c r="F39" s="19" t="n">
        <f aca="false">C39*E39</f>
        <v>0</v>
      </c>
    </row>
    <row r="40" customFormat="false" ht="15" hidden="true" customHeight="true" outlineLevel="0" collapsed="false">
      <c r="A40" s="24" t="s">
        <v>58</v>
      </c>
      <c r="B40" s="24"/>
      <c r="C40" s="18"/>
      <c r="D40" s="25"/>
      <c r="E40" s="18"/>
      <c r="F40" s="19" t="n">
        <f aca="false">C40*E40</f>
        <v>0</v>
      </c>
    </row>
    <row r="41" customFormat="false" ht="15" hidden="false" customHeight="true" outlineLevel="0" collapsed="false">
      <c r="A41" s="24" t="s">
        <v>59</v>
      </c>
      <c r="B41" s="24"/>
      <c r="C41" s="18" t="n">
        <v>1</v>
      </c>
      <c r="D41" s="25" t="s">
        <v>32</v>
      </c>
      <c r="E41" s="18" t="n">
        <v>1250</v>
      </c>
      <c r="F41" s="19" t="n">
        <f aca="false">C41*E41</f>
        <v>1250</v>
      </c>
      <c r="G41" s="2" t="n">
        <v>1250</v>
      </c>
    </row>
    <row r="42" customFormat="false" ht="15" hidden="true" customHeight="true" outlineLevel="0" collapsed="false">
      <c r="A42" s="24" t="s">
        <v>60</v>
      </c>
      <c r="B42" s="24"/>
      <c r="C42" s="18"/>
      <c r="D42" s="25" t="s">
        <v>32</v>
      </c>
      <c r="E42" s="18"/>
      <c r="F42" s="19" t="n">
        <f aca="false">C42*E42</f>
        <v>0</v>
      </c>
    </row>
    <row r="43" customFormat="false" ht="15" hidden="false" customHeight="true" outlineLevel="0" collapsed="false">
      <c r="A43" s="26" t="s">
        <v>61</v>
      </c>
      <c r="B43" s="26"/>
      <c r="C43" s="18" t="n">
        <v>4640</v>
      </c>
      <c r="D43" s="17" t="s">
        <v>49</v>
      </c>
      <c r="E43" s="27" t="n">
        <v>4.5</v>
      </c>
      <c r="F43" s="19" t="n">
        <f aca="false">C43*E43</f>
        <v>20880</v>
      </c>
      <c r="G43" s="2" t="n">
        <v>20880</v>
      </c>
    </row>
    <row r="44" customFormat="false" ht="15" hidden="true" customHeight="true" outlineLevel="0" collapsed="false">
      <c r="A44" s="26" t="s">
        <v>62</v>
      </c>
      <c r="B44" s="26"/>
      <c r="C44" s="18"/>
      <c r="D44" s="17" t="s">
        <v>49</v>
      </c>
      <c r="E44" s="18"/>
      <c r="F44" s="19"/>
    </row>
    <row r="45" customFormat="false" ht="15" hidden="false" customHeight="true" outlineLevel="0" collapsed="false">
      <c r="A45" s="26" t="s">
        <v>63</v>
      </c>
      <c r="B45" s="26"/>
      <c r="C45" s="18" t="n">
        <v>1420</v>
      </c>
      <c r="D45" s="17" t="s">
        <v>49</v>
      </c>
      <c r="E45" s="27" t="n">
        <v>4.5</v>
      </c>
      <c r="F45" s="19" t="n">
        <f aca="false">C45*E45</f>
        <v>6390</v>
      </c>
      <c r="G45" s="2" t="n">
        <v>6390</v>
      </c>
    </row>
    <row r="46" customFormat="false" ht="15" hidden="true" customHeight="true" outlineLevel="0" collapsed="false">
      <c r="A46" s="26" t="s">
        <v>64</v>
      </c>
      <c r="B46" s="26"/>
      <c r="C46" s="18"/>
      <c r="D46" s="17" t="s">
        <v>49</v>
      </c>
      <c r="E46" s="18"/>
      <c r="F46" s="19" t="n">
        <f aca="false">C46*E46</f>
        <v>0</v>
      </c>
    </row>
    <row r="47" customFormat="false" ht="15" hidden="true" customHeight="true" outlineLevel="0" collapsed="false">
      <c r="A47" s="26" t="s">
        <v>65</v>
      </c>
      <c r="B47" s="26"/>
      <c r="C47" s="18"/>
      <c r="D47" s="17" t="s">
        <v>49</v>
      </c>
      <c r="E47" s="18"/>
      <c r="F47" s="19" t="n">
        <f aca="false">C47*E47</f>
        <v>0</v>
      </c>
    </row>
    <row r="48" customFormat="false" ht="15" hidden="false" customHeight="true" outlineLevel="0" collapsed="false">
      <c r="A48" s="26" t="s">
        <v>66</v>
      </c>
      <c r="B48" s="26"/>
      <c r="C48" s="18" t="n">
        <v>130</v>
      </c>
      <c r="D48" s="17" t="s">
        <v>49</v>
      </c>
      <c r="E48" s="27" t="n">
        <v>4.5</v>
      </c>
      <c r="F48" s="19" t="n">
        <f aca="false">C48*E48</f>
        <v>585</v>
      </c>
      <c r="G48" s="2" t="n">
        <v>585</v>
      </c>
    </row>
    <row r="49" customFormat="false" ht="15" hidden="true" customHeight="true" outlineLevel="0" collapsed="false">
      <c r="A49" s="26" t="s">
        <v>67</v>
      </c>
      <c r="B49" s="26"/>
      <c r="C49" s="18"/>
      <c r="D49" s="17" t="s">
        <v>27</v>
      </c>
      <c r="E49" s="18"/>
      <c r="F49" s="19" t="n">
        <f aca="false">C49*E49</f>
        <v>0</v>
      </c>
    </row>
    <row r="50" customFormat="false" ht="15" hidden="true" customHeight="true" outlineLevel="0" collapsed="false">
      <c r="A50" s="26" t="s">
        <v>68</v>
      </c>
      <c r="B50" s="26"/>
      <c r="C50" s="18"/>
      <c r="D50" s="17" t="s">
        <v>49</v>
      </c>
      <c r="E50" s="18"/>
      <c r="F50" s="19" t="n">
        <f aca="false">C50*E50</f>
        <v>0</v>
      </c>
    </row>
    <row r="51" customFormat="false" ht="15" hidden="true" customHeight="true" outlineLevel="0" collapsed="false">
      <c r="A51" s="26" t="s">
        <v>69</v>
      </c>
      <c r="B51" s="26"/>
      <c r="C51" s="18"/>
      <c r="D51" s="17" t="s">
        <v>32</v>
      </c>
      <c r="E51" s="18"/>
      <c r="F51" s="19" t="n">
        <f aca="false">C51*E51</f>
        <v>0</v>
      </c>
    </row>
    <row r="52" customFormat="false" ht="15" hidden="true" customHeight="true" outlineLevel="0" collapsed="false">
      <c r="A52" s="26" t="s">
        <v>70</v>
      </c>
      <c r="B52" s="26"/>
      <c r="C52" s="18"/>
      <c r="D52" s="17" t="s">
        <v>32</v>
      </c>
      <c r="E52" s="16"/>
      <c r="F52" s="19" t="n">
        <f aca="false">C52*E52</f>
        <v>0</v>
      </c>
    </row>
    <row r="53" customFormat="false" ht="15" hidden="true" customHeight="true" outlineLevel="0" collapsed="false">
      <c r="A53" s="26" t="s">
        <v>71</v>
      </c>
      <c r="B53" s="26"/>
      <c r="C53" s="18"/>
      <c r="D53" s="17" t="s">
        <v>49</v>
      </c>
      <c r="E53" s="16"/>
      <c r="F53" s="19" t="n">
        <f aca="false">C53*E53</f>
        <v>0</v>
      </c>
    </row>
    <row r="54" customFormat="false" ht="15" hidden="false" customHeight="true" outlineLevel="0" collapsed="false">
      <c r="A54" s="26" t="s">
        <v>72</v>
      </c>
      <c r="B54" s="26"/>
      <c r="C54" s="28" t="n">
        <v>1</v>
      </c>
      <c r="D54" s="17"/>
      <c r="E54" s="18" t="n">
        <v>2300</v>
      </c>
      <c r="F54" s="19" t="n">
        <f aca="false">C54*E54</f>
        <v>2300</v>
      </c>
      <c r="G54" s="2" t="n">
        <f aca="false">1756</f>
        <v>1756</v>
      </c>
    </row>
    <row r="55" customFormat="false" ht="15" hidden="false" customHeight="true" outlineLevel="0" collapsed="false">
      <c r="A55" s="26" t="s">
        <v>73</v>
      </c>
      <c r="B55" s="26"/>
      <c r="C55" s="28" t="n">
        <v>1</v>
      </c>
      <c r="D55" s="17"/>
      <c r="E55" s="18" t="n">
        <v>280</v>
      </c>
      <c r="F55" s="19" t="n">
        <f aca="false">C55*E55</f>
        <v>280</v>
      </c>
      <c r="G55" s="2" t="n">
        <v>560</v>
      </c>
    </row>
    <row r="56" customFormat="false" ht="15" hidden="false" customHeight="true" outlineLevel="0" collapsed="false">
      <c r="A56" s="26" t="s">
        <v>74</v>
      </c>
      <c r="B56" s="26"/>
      <c r="C56" s="28" t="n">
        <v>1</v>
      </c>
      <c r="D56" s="17" t="s">
        <v>32</v>
      </c>
      <c r="E56" s="18" t="n">
        <v>2545</v>
      </c>
      <c r="F56" s="19" t="n">
        <f aca="false">C56*E56</f>
        <v>2545</v>
      </c>
      <c r="G56" s="2" t="n">
        <v>2545</v>
      </c>
    </row>
    <row r="57" customFormat="false" ht="15" hidden="true" customHeight="true" outlineLevel="0" collapsed="false">
      <c r="A57" s="29" t="s">
        <v>75</v>
      </c>
      <c r="B57" s="29"/>
      <c r="C57" s="16"/>
      <c r="D57" s="30" t="s">
        <v>76</v>
      </c>
      <c r="E57" s="16" t="n">
        <v>60</v>
      </c>
      <c r="F57" s="19" t="n">
        <f aca="false">C57*E57</f>
        <v>0</v>
      </c>
    </row>
    <row r="58" customFormat="false" ht="15" hidden="false" customHeight="true" outlineLevel="0" collapsed="false">
      <c r="A58" s="29" t="s">
        <v>77</v>
      </c>
      <c r="B58" s="29"/>
      <c r="C58" s="16" t="n">
        <v>5</v>
      </c>
      <c r="D58" s="30" t="s">
        <v>27</v>
      </c>
      <c r="E58" s="16"/>
      <c r="F58" s="19" t="n">
        <f aca="false">C58*E58</f>
        <v>0</v>
      </c>
    </row>
    <row r="59" customFormat="false" ht="15" hidden="false" customHeight="true" outlineLevel="0" collapsed="false">
      <c r="A59" s="24" t="s">
        <v>78</v>
      </c>
      <c r="B59" s="24"/>
      <c r="C59" s="16" t="n">
        <v>50</v>
      </c>
      <c r="D59" s="30" t="s">
        <v>27</v>
      </c>
      <c r="E59" s="18"/>
      <c r="F59" s="19" t="n">
        <f aca="false">C59*E59</f>
        <v>0</v>
      </c>
    </row>
    <row r="60" customFormat="false" ht="15" hidden="false" customHeight="true" outlineLevel="0" collapsed="false">
      <c r="A60" s="24" t="s">
        <v>79</v>
      </c>
      <c r="B60" s="24"/>
      <c r="C60" s="16" t="n">
        <v>50</v>
      </c>
      <c r="D60" s="30" t="s">
        <v>27</v>
      </c>
      <c r="E60" s="18"/>
      <c r="F60" s="19" t="n">
        <f aca="false">C60*E60</f>
        <v>0</v>
      </c>
    </row>
    <row r="61" customFormat="false" ht="15" hidden="true" customHeight="true" outlineLevel="0" collapsed="false">
      <c r="A61" s="24" t="s">
        <v>80</v>
      </c>
      <c r="B61" s="24"/>
      <c r="C61" s="16"/>
      <c r="D61" s="30" t="s">
        <v>32</v>
      </c>
      <c r="E61" s="18" t="n">
        <v>22</v>
      </c>
      <c r="F61" s="19" t="n">
        <f aca="false">C61*E61</f>
        <v>0</v>
      </c>
    </row>
    <row r="62" customFormat="false" ht="15" hidden="true" customHeight="true" outlineLevel="0" collapsed="false">
      <c r="A62" s="24" t="s">
        <v>81</v>
      </c>
      <c r="B62" s="24"/>
      <c r="C62" s="16"/>
      <c r="D62" s="30" t="s">
        <v>32</v>
      </c>
      <c r="E62" s="18" t="n">
        <v>75</v>
      </c>
      <c r="F62" s="19" t="n">
        <f aca="false">C62*E62</f>
        <v>0</v>
      </c>
    </row>
    <row r="63" customFormat="false" ht="15" hidden="true" customHeight="true" outlineLevel="0" collapsed="false">
      <c r="A63" s="24" t="s">
        <v>82</v>
      </c>
      <c r="B63" s="24"/>
      <c r="C63" s="18"/>
      <c r="D63" s="30" t="s">
        <v>32</v>
      </c>
      <c r="E63" s="18" t="n">
        <v>20</v>
      </c>
      <c r="F63" s="19" t="n">
        <f aca="false">C63*E63</f>
        <v>0</v>
      </c>
    </row>
    <row r="64" s="20" customFormat="true" ht="15" hidden="true" customHeight="true" outlineLevel="0" collapsed="false">
      <c r="A64" s="24" t="s">
        <v>83</v>
      </c>
      <c r="B64" s="24"/>
      <c r="C64" s="16"/>
      <c r="D64" s="30" t="s">
        <v>27</v>
      </c>
      <c r="E64" s="16"/>
      <c r="F64" s="19" t="n">
        <f aca="false">C64*E64</f>
        <v>0</v>
      </c>
      <c r="ALY64" s="21"/>
      <c r="ALZ64" s="21"/>
      <c r="AMA64" s="21"/>
      <c r="AMB64" s="21"/>
      <c r="AMC64" s="21"/>
      <c r="AMD64" s="21"/>
      <c r="AME64" s="21"/>
      <c r="AMF64" s="21"/>
      <c r="AMG64" s="21"/>
      <c r="AMH64" s="21"/>
      <c r="AMI64" s="21"/>
      <c r="AMJ64" s="21"/>
    </row>
    <row r="65" s="20" customFormat="true" ht="15" hidden="true" customHeight="true" outlineLevel="0" collapsed="false">
      <c r="A65" s="24" t="s">
        <v>84</v>
      </c>
      <c r="B65" s="24"/>
      <c r="C65" s="16"/>
      <c r="D65" s="30" t="s">
        <v>49</v>
      </c>
      <c r="E65" s="16"/>
      <c r="F65" s="19" t="n">
        <f aca="false">C65*E65</f>
        <v>0</v>
      </c>
      <c r="ALY65" s="21"/>
      <c r="ALZ65" s="21"/>
      <c r="AMA65" s="21"/>
      <c r="AMB65" s="21"/>
      <c r="AMC65" s="21"/>
      <c r="AMD65" s="21"/>
      <c r="AME65" s="21"/>
      <c r="AMF65" s="21"/>
      <c r="AMG65" s="21"/>
      <c r="AMH65" s="21"/>
      <c r="AMI65" s="21"/>
      <c r="AMJ65" s="21"/>
    </row>
    <row r="66" s="20" customFormat="true" ht="15" hidden="true" customHeight="true" outlineLevel="0" collapsed="false">
      <c r="A66" s="24" t="s">
        <v>85</v>
      </c>
      <c r="B66" s="24"/>
      <c r="C66" s="16"/>
      <c r="D66" s="30" t="s">
        <v>27</v>
      </c>
      <c r="E66" s="16"/>
      <c r="F66" s="19" t="n">
        <f aca="false">C66*E66</f>
        <v>0</v>
      </c>
      <c r="ALY66" s="21"/>
      <c r="ALZ66" s="21"/>
      <c r="AMA66" s="21"/>
      <c r="AMB66" s="21"/>
      <c r="AMC66" s="21"/>
      <c r="AMD66" s="21"/>
      <c r="AME66" s="21"/>
      <c r="AMF66" s="21"/>
      <c r="AMG66" s="21"/>
      <c r="AMH66" s="21"/>
      <c r="AMI66" s="21"/>
      <c r="AMJ66" s="21"/>
    </row>
    <row r="67" s="20" customFormat="true" ht="15" hidden="true" customHeight="true" outlineLevel="0" collapsed="false">
      <c r="A67" s="24" t="s">
        <v>86</v>
      </c>
      <c r="B67" s="24"/>
      <c r="C67" s="16"/>
      <c r="D67" s="30" t="s">
        <v>49</v>
      </c>
      <c r="E67" s="16"/>
      <c r="F67" s="19" t="n">
        <f aca="false">C67*E67</f>
        <v>0</v>
      </c>
      <c r="ALY67" s="21"/>
      <c r="ALZ67" s="21"/>
      <c r="AMA67" s="21"/>
      <c r="AMB67" s="21"/>
      <c r="AMC67" s="21"/>
      <c r="AMD67" s="21"/>
      <c r="AME67" s="21"/>
      <c r="AMF67" s="21"/>
      <c r="AMG67" s="21"/>
      <c r="AMH67" s="21"/>
      <c r="AMI67" s="21"/>
      <c r="AMJ67" s="21"/>
    </row>
    <row r="68" s="20" customFormat="true" ht="15" hidden="true" customHeight="true" outlineLevel="0" collapsed="false">
      <c r="A68" s="24" t="s">
        <v>87</v>
      </c>
      <c r="B68" s="24"/>
      <c r="C68" s="16"/>
      <c r="D68" s="30" t="s">
        <v>49</v>
      </c>
      <c r="E68" s="16"/>
      <c r="F68" s="19" t="n">
        <f aca="false">C68*E68</f>
        <v>0</v>
      </c>
      <c r="ALY68" s="21"/>
      <c r="ALZ68" s="21"/>
      <c r="AMA68" s="21"/>
      <c r="AMB68" s="21"/>
      <c r="AMC68" s="21"/>
      <c r="AMD68" s="21"/>
      <c r="AME68" s="21"/>
      <c r="AMF68" s="21"/>
      <c r="AMG68" s="21"/>
      <c r="AMH68" s="21"/>
      <c r="AMI68" s="21"/>
      <c r="AMJ68" s="21"/>
    </row>
    <row r="69" customFormat="false" ht="15" hidden="true" customHeight="true" outlineLevel="0" collapsed="false">
      <c r="A69" s="24" t="s">
        <v>88</v>
      </c>
      <c r="B69" s="24"/>
      <c r="C69" s="31"/>
      <c r="D69" s="30" t="s">
        <v>32</v>
      </c>
      <c r="E69" s="32" t="n">
        <v>28</v>
      </c>
      <c r="F69" s="19" t="n">
        <f aca="false">C69*E69</f>
        <v>0</v>
      </c>
    </row>
  </sheetData>
  <autoFilter ref="C10:E10"/>
  <mergeCells count="64">
    <mergeCell ref="A1:B1"/>
    <mergeCell ref="C1:D4"/>
    <mergeCell ref="A5:B5"/>
    <mergeCell ref="C5:F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true" verticalCentered="false"/>
  <pageMargins left="0.827083333333333" right="0.236111111111111" top="0.354861111111111" bottom="0.354861111111111" header="0.511805555555555" footer="0.511805555555555"/>
  <pageSetup paperSize="9" scale="95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&amp;CInfiniti Solutions</oddHeader>
    <oddFooter>&amp;LConfidential&amp;CEstimation V1.0&amp;R&amp;P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16.29"/>
    <col collapsed="false" customWidth="true" hidden="false" outlineLevel="0" max="3" min="3" style="0" width="11.42"/>
    <col collapsed="false" customWidth="true" hidden="false" outlineLevel="0" max="4" min="4" style="0" width="7.41"/>
    <col collapsed="false" customWidth="true" hidden="false" outlineLevel="0" max="5" min="5" style="0" width="14.15"/>
    <col collapsed="false" customWidth="true" hidden="false" outlineLevel="0" max="6" min="6" style="0" width="17.86"/>
    <col collapsed="false" customWidth="true" hidden="false" outlineLevel="0" max="64" min="7" style="0" width="8.84"/>
  </cols>
  <sheetData>
    <row r="1" customFormat="false" ht="15.6" hidden="false" customHeight="false" outlineLevel="0" collapsed="false">
      <c r="A1" s="3" t="s">
        <v>89</v>
      </c>
      <c r="B1" s="3"/>
      <c r="C1" s="4"/>
      <c r="D1" s="4"/>
      <c r="E1" s="5" t="s">
        <v>1</v>
      </c>
      <c r="F1" s="6" t="n">
        <v>45026</v>
      </c>
    </row>
    <row r="2" customFormat="false" ht="13.8" hidden="false" customHeight="false" outlineLevel="0" collapsed="false">
      <c r="A2" s="5" t="s">
        <v>2</v>
      </c>
      <c r="B2" s="5"/>
      <c r="C2" s="4"/>
      <c r="D2" s="4"/>
      <c r="E2" s="5" t="s">
        <v>4</v>
      </c>
      <c r="F2" s="7"/>
    </row>
    <row r="3" customFormat="false" ht="13.8" hidden="false" customHeight="false" outlineLevel="0" collapsed="false">
      <c r="A3" s="8" t="s">
        <v>6</v>
      </c>
      <c r="B3" s="8" t="n">
        <v>1</v>
      </c>
      <c r="C3" s="4"/>
      <c r="D3" s="4"/>
      <c r="E3" s="5" t="s">
        <v>7</v>
      </c>
      <c r="F3" s="7" t="s">
        <v>8</v>
      </c>
    </row>
    <row r="4" customFormat="false" ht="13.8" hidden="false" customHeight="fals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0</v>
      </c>
    </row>
    <row r="5" customFormat="false" ht="15.6" hidden="false" customHeight="false" outlineLevel="0" collapsed="false">
      <c r="A5" s="33" t="s">
        <v>11</v>
      </c>
      <c r="B5" s="33"/>
      <c r="C5" s="9" t="n">
        <f aca="false">SUM(F11:F69)</f>
        <v>34</v>
      </c>
      <c r="D5" s="9"/>
      <c r="E5" s="9"/>
      <c r="F5" s="34" t="s">
        <v>13</v>
      </c>
    </row>
    <row r="6" customFormat="false" ht="15" hidden="false" customHeight="false" outlineLevel="0" collapsed="false">
      <c r="A6" s="11" t="s">
        <v>12</v>
      </c>
      <c r="B6" s="35" t="n">
        <f aca="false">SUM(F11:F36)</f>
        <v>0</v>
      </c>
      <c r="C6" s="0" t="e">
        <f aca="false">B6/F7</f>
        <v>#DIV/0!</v>
      </c>
      <c r="D6" s="12" t="s">
        <v>90</v>
      </c>
      <c r="E6" s="8" t="s">
        <v>14</v>
      </c>
      <c r="F6" s="13"/>
    </row>
    <row r="7" customFormat="false" ht="13.8" hidden="false" customHeight="false" outlineLevel="0" collapsed="false">
      <c r="A7" s="11" t="s">
        <v>15</v>
      </c>
      <c r="B7" s="35" t="n">
        <f aca="false">SUM(F37:F42)</f>
        <v>6</v>
      </c>
      <c r="C7" s="0" t="e">
        <f aca="false">B7/F7</f>
        <v>#DIV/0!</v>
      </c>
      <c r="D7" s="12" t="s">
        <v>90</v>
      </c>
      <c r="E7" s="8" t="s">
        <v>16</v>
      </c>
      <c r="F7" s="7"/>
    </row>
    <row r="8" customFormat="false" ht="15" hidden="false" customHeight="false" outlineLevel="0" collapsed="false">
      <c r="A8" s="11" t="s">
        <v>17</v>
      </c>
      <c r="B8" s="35" t="n">
        <f aca="false">SUM(F43:F53)</f>
        <v>0</v>
      </c>
      <c r="C8" s="0" t="e">
        <f aca="false">B8/F7</f>
        <v>#DIV/0!</v>
      </c>
      <c r="D8" s="12" t="s">
        <v>90</v>
      </c>
      <c r="E8" s="8" t="s">
        <v>18</v>
      </c>
      <c r="F8" s="13" t="e">
        <f aca="false">C5/F7</f>
        <v>#DIV/0!</v>
      </c>
    </row>
    <row r="9" customFormat="false" ht="15" hidden="false" customHeight="false" outlineLevel="0" collapsed="false">
      <c r="A9" s="11" t="s">
        <v>19</v>
      </c>
      <c r="B9" s="35" t="n">
        <f aca="false">SUM(F54:F69)</f>
        <v>28</v>
      </c>
      <c r="C9" s="0" t="e">
        <f aca="false">B9/F7</f>
        <v>#DIV/0!</v>
      </c>
      <c r="D9" s="12" t="s">
        <v>90</v>
      </c>
      <c r="E9" s="8" t="s">
        <v>20</v>
      </c>
      <c r="F9" s="13" t="e">
        <f aca="false">F8/F6</f>
        <v>#DIV/0!</v>
      </c>
    </row>
    <row r="10" customFormat="false" ht="1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6"/>
      <c r="F11" s="19" t="n">
        <f aca="false">C11*E11</f>
        <v>0</v>
      </c>
    </row>
    <row r="12" customFormat="false" ht="15" hidden="true" customHeight="true" outlineLevel="0" collapsed="false">
      <c r="A12" s="15" t="s">
        <v>28</v>
      </c>
      <c r="B12" s="15"/>
      <c r="C12" s="16"/>
      <c r="D12" s="17" t="s">
        <v>27</v>
      </c>
      <c r="E12" s="16"/>
      <c r="F12" s="19" t="n">
        <f aca="false">C12*E12</f>
        <v>0</v>
      </c>
    </row>
    <row r="13" customFormat="fals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9" t="n">
        <f aca="false">C13*E13</f>
        <v>0</v>
      </c>
    </row>
    <row r="14" customFormat="fals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9" t="n">
        <f aca="false">C14*E14</f>
        <v>0</v>
      </c>
    </row>
    <row r="15" customFormat="fals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9" t="n">
        <f aca="false">C15*E15</f>
        <v>0</v>
      </c>
    </row>
    <row r="16" customFormat="fals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9" t="n">
        <f aca="false">C16*E16</f>
        <v>0</v>
      </c>
    </row>
    <row r="17" customFormat="fals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9" t="n">
        <f aca="false">C17*E17</f>
        <v>0</v>
      </c>
    </row>
    <row r="18" customFormat="fals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9" t="n">
        <f aca="false">C18*E18</f>
        <v>0</v>
      </c>
    </row>
    <row r="19" customFormat="fals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9" t="n">
        <f aca="false">C19*E19</f>
        <v>0</v>
      </c>
    </row>
    <row r="20" customFormat="fals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9" t="n">
        <f aca="false">C20*E20</f>
        <v>0</v>
      </c>
    </row>
    <row r="21" customFormat="fals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9" t="n">
        <f aca="false">C21*E21</f>
        <v>0</v>
      </c>
    </row>
    <row r="22" customFormat="fals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9" t="n">
        <f aca="false">C22*E22</f>
        <v>0</v>
      </c>
    </row>
    <row r="23" customFormat="fals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9" t="n">
        <f aca="false">C23*E23</f>
        <v>0</v>
      </c>
    </row>
    <row r="24" customFormat="fals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9" t="n">
        <f aca="false">C24*E24</f>
        <v>0</v>
      </c>
    </row>
    <row r="25" customFormat="false" ht="15" hidden="true" customHeight="true" outlineLevel="0" collapsed="false">
      <c r="A25" s="15" t="s">
        <v>42</v>
      </c>
      <c r="B25" s="15"/>
      <c r="C25" s="16"/>
      <c r="D25" s="17"/>
      <c r="E25" s="16"/>
      <c r="F25" s="19" t="n">
        <f aca="false">C25*E25</f>
        <v>0</v>
      </c>
    </row>
    <row r="26" customFormat="fals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9"/>
    </row>
    <row r="27" customFormat="false" ht="15" hidden="false" customHeight="true" outlineLevel="0" collapsed="false">
      <c r="A27" s="15" t="s">
        <v>44</v>
      </c>
      <c r="B27" s="15"/>
      <c r="C27" s="22" t="n">
        <v>0.02</v>
      </c>
      <c r="D27" s="17"/>
      <c r="E27" s="16"/>
      <c r="F27" s="19" t="n">
        <f aca="false">C27*SUM(F11:F24)</f>
        <v>0</v>
      </c>
    </row>
    <row r="28" customFormat="false" ht="15" hidden="false" customHeight="true" outlineLevel="0" collapsed="false">
      <c r="A28" s="15" t="s">
        <v>91</v>
      </c>
      <c r="B28" s="15"/>
      <c r="C28" s="16" t="n">
        <v>1</v>
      </c>
      <c r="D28" s="17"/>
      <c r="E28" s="16"/>
      <c r="F28" s="19" t="n">
        <f aca="false">C28*E28</f>
        <v>0</v>
      </c>
    </row>
    <row r="29" customFormat="false" ht="15" hidden="true" customHeight="true" outlineLevel="0" collapsed="false">
      <c r="A29" s="15" t="s">
        <v>46</v>
      </c>
      <c r="B29" s="15"/>
      <c r="C29" s="16"/>
      <c r="D29" s="17"/>
      <c r="E29" s="16"/>
      <c r="F29" s="19" t="n">
        <f aca="false">C29*E29</f>
        <v>0</v>
      </c>
    </row>
    <row r="30" customFormat="false" ht="15" hidden="true" customHeight="true" outlineLevel="0" collapsed="false">
      <c r="A30" s="15" t="s">
        <v>47</v>
      </c>
      <c r="B30" s="15"/>
      <c r="C30" s="16"/>
      <c r="D30" s="17"/>
      <c r="E30" s="16"/>
      <c r="F30" s="19" t="n">
        <f aca="false">C30*E30</f>
        <v>0</v>
      </c>
    </row>
    <row r="31" customFormat="false" ht="15" hidden="false" customHeight="true" outlineLevel="0" collapsed="false">
      <c r="A31" s="15" t="s">
        <v>48</v>
      </c>
      <c r="B31" s="15"/>
      <c r="C31" s="16" t="n">
        <v>1</v>
      </c>
      <c r="D31" s="17" t="s">
        <v>49</v>
      </c>
      <c r="E31" s="16"/>
      <c r="F31" s="19" t="n">
        <f aca="false">C31*E31</f>
        <v>0</v>
      </c>
    </row>
    <row r="32" customFormat="fals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9" t="n">
        <f aca="false">C32*E32</f>
        <v>0</v>
      </c>
    </row>
    <row r="33" customFormat="fals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6"/>
      <c r="F33" s="19" t="n">
        <f aca="false">C33*E33</f>
        <v>0</v>
      </c>
    </row>
    <row r="34" customFormat="fals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9" t="n">
        <f aca="false">C34*E34</f>
        <v>0</v>
      </c>
    </row>
    <row r="35" customFormat="fals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6"/>
      <c r="F35" s="19" t="n">
        <f aca="false">C35*E35</f>
        <v>0</v>
      </c>
    </row>
    <row r="36" customFormat="false" ht="15" hidden="false" customHeight="true" outlineLevel="0" collapsed="false">
      <c r="A36" s="15" t="s">
        <v>54</v>
      </c>
      <c r="B36" s="15"/>
      <c r="C36" s="22" t="n">
        <v>0.08</v>
      </c>
      <c r="D36" s="17"/>
      <c r="E36" s="16"/>
      <c r="F36" s="19" t="n">
        <f aca="false">C36*F35</f>
        <v>0</v>
      </c>
    </row>
    <row r="37" customFormat="false" ht="15" hidden="false" customHeight="true" outlineLevel="0" collapsed="false">
      <c r="A37" s="24" t="s">
        <v>92</v>
      </c>
      <c r="B37" s="24"/>
      <c r="C37" s="16" t="n">
        <v>1</v>
      </c>
      <c r="D37" s="25"/>
      <c r="E37" s="16"/>
      <c r="F37" s="19" t="n">
        <f aca="false">C37*E37</f>
        <v>0</v>
      </c>
    </row>
    <row r="38" customFormat="false" ht="15" hidden="true" customHeight="true" outlineLevel="0" collapsed="false">
      <c r="A38" s="24" t="s">
        <v>56</v>
      </c>
      <c r="B38" s="24"/>
      <c r="C38" s="18"/>
      <c r="D38" s="25"/>
      <c r="E38" s="18"/>
      <c r="F38" s="19" t="n">
        <f aca="false">C38*E38</f>
        <v>0</v>
      </c>
    </row>
    <row r="39" customFormat="false" ht="15" hidden="true" customHeight="true" outlineLevel="0" collapsed="false">
      <c r="A39" s="24" t="s">
        <v>57</v>
      </c>
      <c r="B39" s="24"/>
      <c r="C39" s="18"/>
      <c r="D39" s="25"/>
      <c r="E39" s="18"/>
      <c r="F39" s="19" t="n">
        <f aca="false">C39*E39</f>
        <v>0</v>
      </c>
    </row>
    <row r="40" customFormat="false" ht="15" hidden="true" customHeight="true" outlineLevel="0" collapsed="false">
      <c r="A40" s="24" t="s">
        <v>58</v>
      </c>
      <c r="B40" s="24"/>
      <c r="C40" s="18"/>
      <c r="D40" s="25"/>
      <c r="E40" s="18"/>
      <c r="F40" s="19" t="n">
        <f aca="false">C40*E40</f>
        <v>0</v>
      </c>
    </row>
    <row r="41" customFormat="false" ht="13.9" hidden="false" customHeight="true" outlineLevel="0" collapsed="false">
      <c r="A41" s="24" t="s">
        <v>59</v>
      </c>
      <c r="B41" s="24"/>
      <c r="C41" s="18" t="n">
        <v>1</v>
      </c>
      <c r="D41" s="25" t="s">
        <v>32</v>
      </c>
      <c r="E41" s="18"/>
      <c r="F41" s="19" t="n">
        <f aca="false">C41*E41</f>
        <v>0</v>
      </c>
    </row>
    <row r="42" customFormat="false" ht="15" hidden="false" customHeight="true" outlineLevel="0" collapsed="false">
      <c r="A42" s="24" t="s">
        <v>60</v>
      </c>
      <c r="B42" s="24"/>
      <c r="C42" s="18" t="n">
        <v>1</v>
      </c>
      <c r="D42" s="25" t="s">
        <v>32</v>
      </c>
      <c r="E42" s="18" t="n">
        <v>6</v>
      </c>
      <c r="F42" s="19" t="n">
        <f aca="false">C42*E42</f>
        <v>6</v>
      </c>
    </row>
    <row r="43" customFormat="false" ht="15" hidden="false" customHeight="true" outlineLevel="0" collapsed="false">
      <c r="A43" s="26" t="s">
        <v>93</v>
      </c>
      <c r="B43" s="26"/>
      <c r="C43" s="18" t="n">
        <v>1</v>
      </c>
      <c r="D43" s="17" t="s">
        <v>49</v>
      </c>
      <c r="E43" s="27"/>
      <c r="F43" s="19" t="n">
        <f aca="false">C43*E43</f>
        <v>0</v>
      </c>
    </row>
    <row r="44" customFormat="false" ht="15" hidden="true" customHeight="true" outlineLevel="0" collapsed="false">
      <c r="A44" s="26" t="s">
        <v>62</v>
      </c>
      <c r="B44" s="26"/>
      <c r="C44" s="18"/>
      <c r="D44" s="17" t="s">
        <v>49</v>
      </c>
      <c r="E44" s="18"/>
      <c r="F44" s="19"/>
    </row>
    <row r="45" customFormat="false" ht="15" hidden="false" customHeight="true" outlineLevel="0" collapsed="false">
      <c r="A45" s="26" t="s">
        <v>94</v>
      </c>
      <c r="B45" s="26"/>
      <c r="C45" s="18" t="n">
        <v>1</v>
      </c>
      <c r="D45" s="17" t="s">
        <v>49</v>
      </c>
      <c r="E45" s="27"/>
      <c r="F45" s="19" t="n">
        <f aca="false">C45*E45</f>
        <v>0</v>
      </c>
    </row>
    <row r="46" customFormat="false" ht="15" hidden="true" customHeight="true" outlineLevel="0" collapsed="false">
      <c r="A46" s="26" t="s">
        <v>64</v>
      </c>
      <c r="B46" s="26"/>
      <c r="C46" s="18"/>
      <c r="D46" s="17" t="s">
        <v>49</v>
      </c>
      <c r="E46" s="18"/>
      <c r="F46" s="19" t="n">
        <f aca="false">C46*E46</f>
        <v>0</v>
      </c>
    </row>
    <row r="47" customFormat="false" ht="15" hidden="true" customHeight="true" outlineLevel="0" collapsed="false">
      <c r="A47" s="26" t="s">
        <v>65</v>
      </c>
      <c r="B47" s="26"/>
      <c r="C47" s="18"/>
      <c r="D47" s="17" t="s">
        <v>49</v>
      </c>
      <c r="E47" s="18"/>
      <c r="F47" s="19" t="n">
        <f aca="false">C47*E47</f>
        <v>0</v>
      </c>
    </row>
    <row r="48" customFormat="false" ht="15" hidden="false" customHeight="true" outlineLevel="0" collapsed="false">
      <c r="A48" s="26" t="s">
        <v>95</v>
      </c>
      <c r="B48" s="26"/>
      <c r="C48" s="18" t="n">
        <v>1</v>
      </c>
      <c r="D48" s="17" t="s">
        <v>49</v>
      </c>
      <c r="E48" s="27"/>
      <c r="F48" s="19" t="n">
        <f aca="false">C48*E48</f>
        <v>0</v>
      </c>
    </row>
    <row r="49" customFormat="false" ht="15" hidden="true" customHeight="true" outlineLevel="0" collapsed="false">
      <c r="A49" s="26" t="s">
        <v>67</v>
      </c>
      <c r="B49" s="26"/>
      <c r="C49" s="18"/>
      <c r="D49" s="17" t="s">
        <v>27</v>
      </c>
      <c r="E49" s="18"/>
      <c r="F49" s="19" t="n">
        <f aca="false">C49*E49</f>
        <v>0</v>
      </c>
    </row>
    <row r="50" customFormat="false" ht="15" hidden="false" customHeight="true" outlineLevel="0" collapsed="false">
      <c r="A50" s="26" t="s">
        <v>96</v>
      </c>
      <c r="B50" s="26"/>
      <c r="C50" s="18" t="n">
        <v>1</v>
      </c>
      <c r="D50" s="17" t="s">
        <v>49</v>
      </c>
      <c r="E50" s="27"/>
      <c r="F50" s="19" t="n">
        <f aca="false">C50*E50</f>
        <v>0</v>
      </c>
    </row>
    <row r="51" customFormat="false" ht="15" hidden="true" customHeight="true" outlineLevel="0" collapsed="false">
      <c r="A51" s="26" t="s">
        <v>69</v>
      </c>
      <c r="B51" s="26"/>
      <c r="C51" s="18"/>
      <c r="D51" s="17" t="s">
        <v>32</v>
      </c>
      <c r="E51" s="18"/>
      <c r="F51" s="19" t="n">
        <f aca="false">C51*E51</f>
        <v>0</v>
      </c>
    </row>
    <row r="52" customFormat="false" ht="15" hidden="true" customHeight="true" outlineLevel="0" collapsed="false">
      <c r="A52" s="26" t="s">
        <v>70</v>
      </c>
      <c r="B52" s="26"/>
      <c r="C52" s="18"/>
      <c r="D52" s="17" t="s">
        <v>32</v>
      </c>
      <c r="E52" s="16"/>
      <c r="F52" s="19" t="n">
        <f aca="false">C52*E52</f>
        <v>0</v>
      </c>
    </row>
    <row r="53" customFormat="false" ht="15" hidden="true" customHeight="true" outlineLevel="0" collapsed="false">
      <c r="A53" s="26" t="s">
        <v>71</v>
      </c>
      <c r="B53" s="26"/>
      <c r="C53" s="18"/>
      <c r="D53" s="17" t="s">
        <v>49</v>
      </c>
      <c r="E53" s="16"/>
      <c r="F53" s="19" t="n">
        <f aca="false">C53*E53</f>
        <v>0</v>
      </c>
    </row>
    <row r="54" customFormat="false" ht="15" hidden="false" customHeight="true" outlineLevel="0" collapsed="false">
      <c r="A54" s="26" t="s">
        <v>72</v>
      </c>
      <c r="B54" s="26"/>
      <c r="C54" s="28" t="n">
        <v>1</v>
      </c>
      <c r="D54" s="17"/>
      <c r="E54" s="18"/>
      <c r="F54" s="19" t="n">
        <f aca="false">C54*E54</f>
        <v>0</v>
      </c>
    </row>
    <row r="55" customFormat="false" ht="15" hidden="true" customHeight="true" outlineLevel="0" collapsed="false">
      <c r="A55" s="26" t="s">
        <v>97</v>
      </c>
      <c r="B55" s="26"/>
      <c r="C55" s="28"/>
      <c r="D55" s="17"/>
      <c r="E55" s="18"/>
      <c r="F55" s="19" t="n">
        <f aca="false">C55*E55</f>
        <v>0</v>
      </c>
    </row>
    <row r="56" customFormat="false" ht="15" hidden="true" customHeight="true" outlineLevel="0" collapsed="false">
      <c r="A56" s="26" t="s">
        <v>98</v>
      </c>
      <c r="B56" s="26"/>
      <c r="C56" s="28"/>
      <c r="D56" s="17" t="s">
        <v>32</v>
      </c>
      <c r="E56" s="18"/>
      <c r="F56" s="19" t="n">
        <f aca="false">C56*E56</f>
        <v>0</v>
      </c>
    </row>
    <row r="57" customFormat="false" ht="15" hidden="true" customHeight="true" outlineLevel="0" collapsed="false">
      <c r="A57" s="29" t="s">
        <v>75</v>
      </c>
      <c r="B57" s="29"/>
      <c r="C57" s="16"/>
      <c r="D57" s="30" t="s">
        <v>76</v>
      </c>
      <c r="E57" s="16" t="n">
        <v>60</v>
      </c>
      <c r="F57" s="19" t="n">
        <f aca="false">C57*E57</f>
        <v>0</v>
      </c>
    </row>
    <row r="58" customFormat="false" ht="15" hidden="false" customHeight="true" outlineLevel="0" collapsed="false">
      <c r="A58" s="29" t="s">
        <v>77</v>
      </c>
      <c r="B58" s="29"/>
      <c r="C58" s="16" t="n">
        <v>1</v>
      </c>
      <c r="D58" s="30" t="s">
        <v>27</v>
      </c>
      <c r="E58" s="16"/>
      <c r="F58" s="19" t="n">
        <f aca="false">C58*E58</f>
        <v>0</v>
      </c>
    </row>
    <row r="59" customFormat="false" ht="15" hidden="false" customHeight="true" outlineLevel="0" collapsed="false">
      <c r="A59" s="24" t="s">
        <v>99</v>
      </c>
      <c r="B59" s="24"/>
      <c r="C59" s="16" t="n">
        <v>1</v>
      </c>
      <c r="D59" s="30" t="s">
        <v>27</v>
      </c>
      <c r="E59" s="18"/>
      <c r="F59" s="19" t="n">
        <f aca="false">C59*E59</f>
        <v>0</v>
      </c>
    </row>
    <row r="60" customFormat="false" ht="15" hidden="false" customHeight="true" outlineLevel="0" collapsed="false">
      <c r="A60" s="24" t="s">
        <v>79</v>
      </c>
      <c r="B60" s="24"/>
      <c r="C60" s="16" t="n">
        <v>1</v>
      </c>
      <c r="D60" s="30" t="s">
        <v>27</v>
      </c>
      <c r="E60" s="18"/>
      <c r="F60" s="19" t="n">
        <f aca="false">C60*E60</f>
        <v>0</v>
      </c>
    </row>
    <row r="61" customFormat="false" ht="15" hidden="true" customHeight="true" outlineLevel="0" collapsed="false">
      <c r="A61" s="24" t="s">
        <v>80</v>
      </c>
      <c r="B61" s="24"/>
      <c r="C61" s="16"/>
      <c r="D61" s="30" t="s">
        <v>32</v>
      </c>
      <c r="E61" s="18" t="n">
        <v>22</v>
      </c>
      <c r="F61" s="19" t="n">
        <f aca="false">C61*E61</f>
        <v>0</v>
      </c>
    </row>
    <row r="62" customFormat="false" ht="15" hidden="true" customHeight="true" outlineLevel="0" collapsed="false">
      <c r="A62" s="24" t="s">
        <v>81</v>
      </c>
      <c r="B62" s="24"/>
      <c r="C62" s="16"/>
      <c r="D62" s="30" t="s">
        <v>32</v>
      </c>
      <c r="E62" s="18" t="n">
        <v>75</v>
      </c>
      <c r="F62" s="19" t="n">
        <f aca="false">C62*E62</f>
        <v>0</v>
      </c>
    </row>
    <row r="63" customFormat="false" ht="15" hidden="true" customHeight="true" outlineLevel="0" collapsed="false">
      <c r="A63" s="24" t="s">
        <v>82</v>
      </c>
      <c r="B63" s="24"/>
      <c r="C63" s="18"/>
      <c r="D63" s="30" t="s">
        <v>32</v>
      </c>
      <c r="E63" s="18" t="n">
        <v>20</v>
      </c>
      <c r="F63" s="19" t="n">
        <f aca="false">C63*E63</f>
        <v>0</v>
      </c>
    </row>
    <row r="64" customFormat="false" ht="15" hidden="false" customHeight="true" outlineLevel="0" collapsed="false">
      <c r="A64" s="24" t="s">
        <v>83</v>
      </c>
      <c r="B64" s="24"/>
      <c r="C64" s="16" t="n">
        <v>1</v>
      </c>
      <c r="D64" s="30" t="s">
        <v>27</v>
      </c>
      <c r="E64" s="16"/>
      <c r="F64" s="19" t="n">
        <f aca="false">C64*E64</f>
        <v>0</v>
      </c>
    </row>
    <row r="65" customFormat="false" ht="15" hidden="true" customHeight="true" outlineLevel="0" collapsed="false">
      <c r="A65" s="24" t="s">
        <v>84</v>
      </c>
      <c r="B65" s="24"/>
      <c r="C65" s="16"/>
      <c r="D65" s="30" t="s">
        <v>49</v>
      </c>
      <c r="E65" s="16"/>
      <c r="F65" s="19" t="n">
        <f aca="false">C65*E65</f>
        <v>0</v>
      </c>
    </row>
    <row r="66" customFormat="false" ht="15" hidden="true" customHeight="true" outlineLevel="0" collapsed="false">
      <c r="A66" s="24" t="s">
        <v>85</v>
      </c>
      <c r="B66" s="24"/>
      <c r="C66" s="16"/>
      <c r="D66" s="30" t="s">
        <v>27</v>
      </c>
      <c r="E66" s="16"/>
      <c r="F66" s="19" t="n">
        <f aca="false">C66*E66</f>
        <v>0</v>
      </c>
    </row>
    <row r="67" customFormat="false" ht="15" hidden="true" customHeight="true" outlineLevel="0" collapsed="false">
      <c r="A67" s="24" t="s">
        <v>86</v>
      </c>
      <c r="B67" s="24"/>
      <c r="C67" s="16"/>
      <c r="D67" s="30" t="s">
        <v>49</v>
      </c>
      <c r="E67" s="16"/>
      <c r="F67" s="19" t="n">
        <f aca="false">C67*E67</f>
        <v>0</v>
      </c>
    </row>
    <row r="68" customFormat="false" ht="15" hidden="true" customHeight="true" outlineLevel="0" collapsed="false">
      <c r="A68" s="24" t="s">
        <v>87</v>
      </c>
      <c r="B68" s="24"/>
      <c r="C68" s="16"/>
      <c r="D68" s="30" t="s">
        <v>49</v>
      </c>
      <c r="E68" s="16"/>
      <c r="F68" s="19" t="n">
        <f aca="false">C68*E68</f>
        <v>0</v>
      </c>
    </row>
    <row r="69" customFormat="false" ht="15" hidden="false" customHeight="true" outlineLevel="0" collapsed="false">
      <c r="A69" s="24" t="s">
        <v>88</v>
      </c>
      <c r="B69" s="24"/>
      <c r="C69" s="31" t="n">
        <v>1</v>
      </c>
      <c r="D69" s="30" t="s">
        <v>32</v>
      </c>
      <c r="E69" s="32" t="n">
        <v>28</v>
      </c>
      <c r="F69" s="19" t="n">
        <f aca="false">C69*E69</f>
        <v>28</v>
      </c>
    </row>
  </sheetData>
  <autoFilter ref="C10:E10"/>
  <mergeCells count="64">
    <mergeCell ref="A1:B1"/>
    <mergeCell ref="C1:D4"/>
    <mergeCell ref="A5:B5"/>
    <mergeCell ref="C5:E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2020-03-13T08:57:58Z</dcterms:created>
  <dc:creator>Design</dc:creator>
  <dc:description/>
  <dc:language>en-US</dc:language>
  <cp:lastModifiedBy/>
  <cp:lastPrinted>2020-09-02T13:17:23Z</cp:lastPrinted>
  <dcterms:modified xsi:type="dcterms:W3CDTF">2025-05-13T14:55:57Z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