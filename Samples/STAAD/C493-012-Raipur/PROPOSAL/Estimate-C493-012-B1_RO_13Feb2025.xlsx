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B Estimation" sheetId="1" state="visible" r:id="rId2"/>
    <sheet name="Description" sheetId="2" state="hidden" r:id="rId3"/>
  </sheets>
  <definedNames>
    <definedName function="false" hidden="true" localSheetId="0" name="_xlnm._FilterDatabase" vbProcedure="false">'PEB Estimation'!$A$13:$E$42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9" authorId="0">
      <text>
        <r>
          <rPr>
            <sz val="11"/>
            <color rgb="FF000000"/>
            <rFont val="Calibri"/>
            <family val="2"/>
            <charset val="1"/>
          </rPr>
          <t xml:space="preserve">Standard format: 22/MAY/2025</t>
        </r>
      </text>
    </comment>
  </commentList>
</comments>
</file>

<file path=xl/sharedStrings.xml><?xml version="1.0" encoding="utf-8"?>
<sst xmlns="http://schemas.openxmlformats.org/spreadsheetml/2006/main" count="151" uniqueCount="84">
  <si>
    <t xml:space="preserve">Summary</t>
  </si>
  <si>
    <t xml:space="preserve">Density:</t>
  </si>
  <si>
    <t xml:space="preserve">Primary</t>
  </si>
  <si>
    <t xml:space="preserve">Secondary</t>
  </si>
  <si>
    <t xml:space="preserve">Mezzanine</t>
  </si>
  <si>
    <t xml:space="preserve">Crane</t>
  </si>
  <si>
    <t xml:space="preserve">Sheeting</t>
  </si>
  <si>
    <t xml:space="preserve">Accessories</t>
  </si>
  <si>
    <t xml:space="preserve">Date:</t>
  </si>
  <si>
    <t xml:space="preserve">13/FEB/2026</t>
  </si>
  <si>
    <t xml:space="preserve">Designer:</t>
  </si>
  <si>
    <t xml:space="preserve">ASB</t>
  </si>
  <si>
    <t xml:space="preserve">B1</t>
  </si>
  <si>
    <t xml:space="preserve">Job code:</t>
  </si>
  <si>
    <t xml:space="preserve">C493-012-B1</t>
  </si>
  <si>
    <t xml:space="preserve">Checker:</t>
  </si>
  <si>
    <t xml:space="preserve">Opt1</t>
  </si>
  <si>
    <t xml:space="preserve">Eave height</t>
  </si>
  <si>
    <t xml:space="preserve">Total weight (kg)</t>
  </si>
  <si>
    <t xml:space="preserve">Density (kg/m2)</t>
  </si>
  <si>
    <t xml:space="preserve">Density (kg/m3)</t>
  </si>
  <si>
    <t xml:space="preserve">Area (sqm)</t>
  </si>
  <si>
    <t xml:space="preserve">Sr. No.</t>
  </si>
  <si>
    <t xml:space="preserve">Description</t>
  </si>
  <si>
    <t xml:space="preserve">Quantity</t>
  </si>
  <si>
    <t xml:space="preserve">Unit</t>
  </si>
  <si>
    <t xml:space="preserve">Weight (kg)</t>
  </si>
  <si>
    <t xml:space="preserve">Primary steel (Built up I sections)</t>
  </si>
  <si>
    <t xml:space="preserve">Nos.</t>
  </si>
  <si>
    <t xml:space="preserve">End plate</t>
  </si>
  <si>
    <t xml:space="preserve">Bracings</t>
  </si>
  <si>
    <t xml:space="preserve">Portal bracings</t>
  </si>
  <si>
    <t xml:space="preserve">Flange brace angles &amp; Sag rods</t>
  </si>
  <si>
    <t xml:space="preserve">Connections, fasteners &amp; accessories</t>
  </si>
  <si>
    <t xml:space="preserve">Crane assembly</t>
  </si>
  <si>
    <t xml:space="preserve">Floor primary members</t>
  </si>
  <si>
    <t xml:space="preserve">Purlins, Girts &amp; Eave struts</t>
  </si>
  <si>
    <t xml:space="preserve">Header &amp; Jambs for openings</t>
  </si>
  <si>
    <t xml:space="preserve">Roof sheeting</t>
  </si>
  <si>
    <t xml:space="preserve">sqm</t>
  </si>
  <si>
    <t xml:space="preserve">Wall sheeting</t>
  </si>
  <si>
    <t xml:space="preserve">Extensions sheeting</t>
  </si>
  <si>
    <t xml:space="preserve">Mezzanine Sheeting</t>
  </si>
  <si>
    <t xml:space="preserve">Sheeting accessories</t>
  </si>
  <si>
    <t xml:space="preserve">Extension primary</t>
  </si>
  <si>
    <t xml:space="preserve">Fascia secondary</t>
  </si>
  <si>
    <t xml:space="preserve">Mezzanine edge angles</t>
  </si>
  <si>
    <t xml:space="preserve">m</t>
  </si>
  <si>
    <t xml:space="preserve">Roof monitor primary</t>
  </si>
  <si>
    <t xml:space="preserve">Roof monitor secondary</t>
  </si>
  <si>
    <t xml:space="preserve">Roof monitor sheeting &amp; trims</t>
  </si>
  <si>
    <t xml:space="preserve">Partition wall primary</t>
  </si>
  <si>
    <t xml:space="preserve">Partition wall secondary</t>
  </si>
  <si>
    <t xml:space="preserve">Partition wall sheeting</t>
  </si>
  <si>
    <t xml:space="preserve">Cage ladder</t>
  </si>
  <si>
    <t xml:space="preserve">Walkways</t>
  </si>
  <si>
    <t xml:space="preserve">Staircases</t>
  </si>
  <si>
    <t xml:space="preserve">Handrails</t>
  </si>
  <si>
    <t xml:space="preserve">Total</t>
  </si>
  <si>
    <t xml:space="preserve">Matching key words in MBS</t>
  </si>
  <si>
    <t xml:space="preserve">RF columns, RF rafters, RF Int Col, EW Column, EW rafters. </t>
  </si>
  <si>
    <t xml:space="preserve">Runway Beam, Crane Angle</t>
  </si>
  <si>
    <t xml:space="preserve">Floor Beam, Floor Column, Floor Joist </t>
  </si>
  <si>
    <t xml:space="preserve">Jack beams</t>
  </si>
  <si>
    <t xml:space="preserve">Jack Beam, Stub Column</t>
  </si>
  <si>
    <t xml:space="preserve">SW Rod, Roof Rod, Ext Rod </t>
  </si>
  <si>
    <t xml:space="preserve"> Wind Bent </t>
  </si>
  <si>
    <t xml:space="preserve">Ext Flg Br, RF Flg Brc, EW Flg Brc, Sag rod at bas, 12mm SAG ROD, Ext Flg Br, JB Flg BRc</t>
  </si>
  <si>
    <t xml:space="preserve">Grt-Jmb Plt, Hdr-Jmb Plt, Cor-Grt6 Pl, Jmb-Bas Plt, Jmb-Grt Plt, NUT 20, HILLSIDE WASHER2, FLAT WASHER20, Bolts, Anchor Bolt , A.B. Washers, No. 12-, No. 10-, Pop Rivet, fBm-Prl Plt, Beam-Prl Pl, grt-col plt</t>
  </si>
  <si>
    <t xml:space="preserve">Roof Purlin, Eave Strut, EW Girt, SW Girt, WALL STRUT</t>
  </si>
  <si>
    <t xml:space="preserve">Door jamb, Door headers</t>
  </si>
  <si>
    <t xml:space="preserve">Roof Sheet</t>
  </si>
  <si>
    <t xml:space="preserve">EW Sheet, SW Sheet</t>
  </si>
  <si>
    <t xml:space="preserve">Ext Sheet          </t>
  </si>
  <si>
    <t xml:space="preserve">Mezzanine Sh.</t>
  </si>
  <si>
    <t xml:space="preserve">Base Angle, Base/Seal An, Drip Trim, Eave Trim, Roof To Wall, Rake Trim, H Trim, J Trim, Eave Gutter, Eave Gutter St, Gutter Endcap, Base Trim, Outside Corner, Ridge cap, Gable angle, High Side Rake HR-100,  Roof Height Ch</t>
  </si>
  <si>
    <t xml:space="preserve">Ext Beam</t>
  </si>
  <si>
    <t xml:space="preserve">Facia Girt</t>
  </si>
  <si>
    <t xml:space="preserve">Ignore</t>
  </si>
  <si>
    <t xml:space="preserve">PW Column,</t>
  </si>
  <si>
    <t xml:space="preserve">PW Girt,</t>
  </si>
  <si>
    <t xml:space="preserve">PW Sheet</t>
  </si>
  <si>
    <t xml:space="preserve">Not case sensitive</t>
  </si>
  <si>
    <t xml:space="preserve">Weight (kg) columns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</si>
</sst>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%"/>
    <numFmt numFmtId="167" formatCode="0"/>
    <numFmt numFmtId="168" formatCode="0.00"/>
    <numFmt numFmtId="169" formatCode="d\ mmm\ 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E699"/>
      </patternFill>
    </fill>
    <fill>
      <patternFill patternType="solid">
        <fgColor rgb="FFDEEBF7"/>
        <bgColor rgb="FFCCFFFF"/>
      </patternFill>
    </fill>
    <fill>
      <patternFill patternType="solid">
        <fgColor rgb="FFFFE699"/>
        <bgColor rgb="FFFFD966"/>
      </patternFill>
    </fill>
    <fill>
      <patternFill patternType="solid">
        <fgColor rgb="FFBFBFB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7560</xdr:colOff>
      <xdr:row>0</xdr:row>
      <xdr:rowOff>23040</xdr:rowOff>
    </xdr:from>
    <xdr:to>
      <xdr:col>0</xdr:col>
      <xdr:colOff>1660320</xdr:colOff>
      <xdr:row>6</xdr:row>
      <xdr:rowOff>159480</xdr:rowOff>
    </xdr:to>
    <xdr:pic>
      <xdr:nvPicPr>
        <xdr:cNvPr id="0" name="Picture 8" descr=""/>
        <xdr:cNvPicPr/>
      </xdr:nvPicPr>
      <xdr:blipFill>
        <a:blip r:embed="rId1"/>
        <a:stretch/>
      </xdr:blipFill>
      <xdr:spPr>
        <a:xfrm>
          <a:off x="7560" y="23040"/>
          <a:ext cx="1652760" cy="1279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73046875" defaultRowHeight="15" zeroHeight="false" outlineLevelRow="0" outlineLevelCol="0"/>
  <cols>
    <col collapsed="false" customWidth="true" hidden="false" outlineLevel="0" max="1" min="1" style="1" width="24.41"/>
    <col collapsed="false" customWidth="true" hidden="false" outlineLevel="0" max="2" min="2" style="2" width="34.71"/>
    <col collapsed="false" customWidth="true" hidden="false" outlineLevel="0" max="3" min="3" style="2" width="17.71"/>
    <col collapsed="false" customWidth="true" hidden="false" outlineLevel="0" max="4" min="4" style="2" width="14.69"/>
    <col collapsed="false" customWidth="true" hidden="false" outlineLevel="0" max="5" min="5" style="0" width="20.71"/>
  </cols>
  <sheetData>
    <row r="1" customFormat="false" ht="15" hidden="false" customHeight="false" outlineLevel="0" collapsed="false">
      <c r="B1" s="3" t="s">
        <v>0</v>
      </c>
      <c r="C1" s="3"/>
      <c r="D1" s="3" t="s">
        <v>1</v>
      </c>
      <c r="E1" s="3"/>
    </row>
    <row r="2" customFormat="false" ht="15" hidden="false" customHeight="false" outlineLevel="0" collapsed="false">
      <c r="B2" s="4" t="s">
        <v>2</v>
      </c>
      <c r="C2" s="5" t="n">
        <f aca="false">IF((SUM(E14:E19))=0,0,ROUND((SUM(E14:E19))+0.85,2))</f>
        <v>74801.55</v>
      </c>
      <c r="D2" s="4" t="s">
        <v>2</v>
      </c>
      <c r="E2" s="6" t="n">
        <f aca="false">IF((IF((C2/E12)=0,0,ROUND((C2/E12)+0.25,2)))=0,0,ROUND((IF((C2/E12)=0,0,ROUND((C2/E12)+0.25,2)))+0.78,2))</f>
        <v>23.19</v>
      </c>
    </row>
    <row r="3" customFormat="false" ht="15" hidden="false" customHeight="false" outlineLevel="0" collapsed="false">
      <c r="B3" s="4" t="s">
        <v>3</v>
      </c>
      <c r="C3" s="5" t="n">
        <f aca="false">IF((E22+E23)=0,0,ROUND((E22+E23)+0.13,2))</f>
        <v>18024.13</v>
      </c>
      <c r="D3" s="4" t="s">
        <v>3</v>
      </c>
      <c r="E3" s="6" t="n">
        <f aca="false">IF((IF((C3/E12)=0,0,ROUND((C3/E12)+0.31,2)))=0,0,ROUND((IF((C3/E12)=0,0,ROUND((C3/E12)+0.31,2)))+0.11,2))</f>
        <v>5.76</v>
      </c>
    </row>
    <row r="4" customFormat="false" ht="15" hidden="false" customHeight="false" outlineLevel="0" collapsed="false">
      <c r="A4" s="7"/>
      <c r="B4" s="4" t="s">
        <v>4</v>
      </c>
      <c r="C4" s="5" t="n">
        <f aca="false">IF((E21)=0,0,ROUND((E21)+0.01,2))</f>
        <v>0</v>
      </c>
      <c r="D4" s="4" t="s">
        <v>4</v>
      </c>
      <c r="E4" s="6" t="n">
        <f aca="false">IF((IF((C4/E12)=0,0,ROUND((C4/E12)+0.83,2)))=0,0,ROUND((IF((C4/E12)=0,0,ROUND((C4/E12)+0.83,2)))+0.2,2))</f>
        <v>0</v>
      </c>
    </row>
    <row r="5" customFormat="false" ht="15" hidden="false" customHeight="false" outlineLevel="0" collapsed="false">
      <c r="A5" s="7"/>
      <c r="B5" s="4" t="s">
        <v>5</v>
      </c>
      <c r="C5" s="5" t="n">
        <f aca="false">E20</f>
        <v>49238</v>
      </c>
      <c r="D5" s="4" t="s">
        <v>5</v>
      </c>
      <c r="E5" s="6" t="n">
        <f aca="false">IF((C5/E12)=0,0,ROUND((C5/E12)+0.06,2))</f>
        <v>14.65</v>
      </c>
    </row>
    <row r="6" customFormat="false" ht="15" hidden="false" customHeight="false" outlineLevel="0" collapsed="false">
      <c r="A6" s="7"/>
      <c r="B6" s="4" t="s">
        <v>6</v>
      </c>
      <c r="C6" s="5" t="n">
        <f aca="false">SUM(E24:E28)</f>
        <v>25714</v>
      </c>
      <c r="D6" s="4" t="s">
        <v>6</v>
      </c>
      <c r="E6" s="6" t="n">
        <f aca="false">IF((C6/E12)=0,0,ROUND((C6/E12)+0.33,2))</f>
        <v>7.95</v>
      </c>
    </row>
    <row r="7" customFormat="false" ht="15" hidden="false" customHeight="false" outlineLevel="0" collapsed="false">
      <c r="A7" s="7"/>
      <c r="B7" s="4" t="s">
        <v>7</v>
      </c>
      <c r="C7" s="5" t="n">
        <f aca="false">SUM(E29:E41)</f>
        <v>0</v>
      </c>
      <c r="D7" s="4" t="s">
        <v>7</v>
      </c>
      <c r="E7" s="6" t="n">
        <f aca="false">IF((C7/E12)=0,0,ROUND((C7/E12)+0.93,2))</f>
        <v>0</v>
      </c>
    </row>
    <row r="8" customFormat="false" ht="15" hidden="true" customHeight="false" outlineLevel="0" collapsed="false">
      <c r="A8" s="2"/>
    </row>
    <row r="9" customFormat="false" ht="15" hidden="false" customHeight="false" outlineLevel="0" collapsed="false">
      <c r="A9" s="8" t="s">
        <v>8</v>
      </c>
      <c r="B9" s="9" t="s">
        <v>9</v>
      </c>
      <c r="C9" s="8" t="s">
        <v>10</v>
      </c>
      <c r="D9" s="10" t="s">
        <v>11</v>
      </c>
      <c r="E9" s="11" t="s">
        <v>12</v>
      </c>
    </row>
    <row r="10" customFormat="false" ht="15" hidden="false" customHeight="false" outlineLevel="0" collapsed="false">
      <c r="A10" s="8" t="s">
        <v>13</v>
      </c>
      <c r="B10" s="10" t="s">
        <v>14</v>
      </c>
      <c r="C10" s="8" t="s">
        <v>15</v>
      </c>
      <c r="D10" s="10" t="s">
        <v>11</v>
      </c>
      <c r="E10" s="11" t="s">
        <v>16</v>
      </c>
    </row>
    <row r="11" customFormat="false" ht="15" hidden="false" customHeight="false" outlineLevel="0" collapsed="false">
      <c r="A11" s="12" t="s">
        <v>17</v>
      </c>
      <c r="B11" s="12" t="s">
        <v>18</v>
      </c>
      <c r="C11" s="12" t="s">
        <v>19</v>
      </c>
      <c r="D11" s="12" t="s">
        <v>20</v>
      </c>
      <c r="E11" s="12" t="s">
        <v>21</v>
      </c>
    </row>
    <row r="12" customFormat="false" ht="15" hidden="false" customHeight="false" outlineLevel="0" collapsed="false">
      <c r="A12" s="13" t="n">
        <v>11.5</v>
      </c>
      <c r="B12" s="14" t="n">
        <f aca="false">SUM(E14:E41)</f>
        <v>167776.7</v>
      </c>
      <c r="C12" s="15" t="n">
        <f aca="false">IF((B12/E12)=0,0,ROUND((B12/E12)+0.79,2))</f>
        <v>50.5</v>
      </c>
      <c r="D12" s="15" t="n">
        <f aca="false">IF((C12/A12)=0,0,ROUND((C12/A12)+0.35,2))</f>
        <v>4.74</v>
      </c>
      <c r="E12" s="13" t="n">
        <v>3375</v>
      </c>
    </row>
    <row r="13" customFormat="false" ht="15" hidden="false" customHeight="false" outlineLevel="0" collapsed="false">
      <c r="A13" s="16" t="s">
        <v>22</v>
      </c>
      <c r="B13" s="16" t="s">
        <v>23</v>
      </c>
      <c r="C13" s="16" t="s">
        <v>24</v>
      </c>
      <c r="D13" s="16" t="s">
        <v>25</v>
      </c>
      <c r="E13" s="16" t="s">
        <v>26</v>
      </c>
    </row>
    <row r="14" customFormat="false" ht="13.8" hidden="false" customHeight="false" outlineLevel="0" collapsed="false">
      <c r="A14" s="7" t="n">
        <v>1</v>
      </c>
      <c r="B14" s="17" t="s">
        <v>27</v>
      </c>
      <c r="C14" s="18" t="n">
        <f aca="false">IF(E14&gt;0,1,0)</f>
        <v>1</v>
      </c>
      <c r="D14" s="7" t="s">
        <v>28</v>
      </c>
      <c r="E14" s="18" t="n">
        <f aca="false">51832+3500</f>
        <v>55332</v>
      </c>
    </row>
    <row r="15" customFormat="false" ht="13.8" hidden="false" customHeight="false" outlineLevel="0" collapsed="false">
      <c r="A15" s="7" t="n">
        <v>2</v>
      </c>
      <c r="B15" s="17" t="s">
        <v>29</v>
      </c>
      <c r="C15" s="19" t="n">
        <v>0.05</v>
      </c>
      <c r="D15" s="7" t="s">
        <v>28</v>
      </c>
      <c r="E15" s="18" t="n">
        <f aca="false">C15*E14*4.5</f>
        <v>12449.7</v>
      </c>
    </row>
    <row r="16" customFormat="false" ht="13.8" hidden="false" customHeight="false" outlineLevel="0" collapsed="false">
      <c r="A16" s="7" t="n">
        <v>3</v>
      </c>
      <c r="B16" s="17" t="s">
        <v>30</v>
      </c>
      <c r="C16" s="18" t="n">
        <f aca="false">IF(E16&gt;0,1,0)</f>
        <v>1</v>
      </c>
      <c r="D16" s="7" t="s">
        <v>28</v>
      </c>
      <c r="E16" s="18" t="n">
        <v>2872</v>
      </c>
    </row>
    <row r="17" customFormat="false" ht="13.8" hidden="true" customHeight="false" outlineLevel="0" collapsed="false">
      <c r="A17" s="7" t="n">
        <v>4</v>
      </c>
      <c r="B17" s="17" t="s">
        <v>31</v>
      </c>
      <c r="C17" s="18" t="n">
        <f aca="false">IF(E17&gt;0,1,0)</f>
        <v>0</v>
      </c>
      <c r="D17" s="7" t="s">
        <v>28</v>
      </c>
      <c r="E17" s="18" t="n">
        <v>0</v>
      </c>
    </row>
    <row r="18" customFormat="false" ht="13.8" hidden="false" customHeight="false" outlineLevel="0" collapsed="false">
      <c r="A18" s="7" t="n">
        <v>5</v>
      </c>
      <c r="B18" s="17" t="s">
        <v>32</v>
      </c>
      <c r="C18" s="18" t="n">
        <f aca="false">IF(E18&gt;0,1,0)</f>
        <v>1</v>
      </c>
      <c r="D18" s="7" t="s">
        <v>28</v>
      </c>
      <c r="E18" s="18" t="n">
        <v>2008</v>
      </c>
    </row>
    <row r="19" customFormat="false" ht="13.8" hidden="false" customHeight="false" outlineLevel="0" collapsed="false">
      <c r="A19" s="7" t="n">
        <v>6</v>
      </c>
      <c r="B19" s="17" t="s">
        <v>33</v>
      </c>
      <c r="C19" s="18" t="n">
        <f aca="false">IF(E19&gt;0,1,0)</f>
        <v>1</v>
      </c>
      <c r="D19" s="7" t="s">
        <v>28</v>
      </c>
      <c r="E19" s="18" t="n">
        <v>2139</v>
      </c>
    </row>
    <row r="20" customFormat="false" ht="13.8" hidden="false" customHeight="false" outlineLevel="0" collapsed="false">
      <c r="A20" s="7" t="n">
        <v>7</v>
      </c>
      <c r="B20" s="17" t="s">
        <v>34</v>
      </c>
      <c r="C20" s="18" t="n">
        <f aca="false">IF(E20&gt;0,1,0)</f>
        <v>1</v>
      </c>
      <c r="D20" s="7" t="s">
        <v>28</v>
      </c>
      <c r="E20" s="18" t="n">
        <v>49238</v>
      </c>
    </row>
    <row r="21" customFormat="false" ht="13.8" hidden="true" customHeight="false" outlineLevel="0" collapsed="false">
      <c r="A21" s="7" t="n">
        <v>8</v>
      </c>
      <c r="B21" s="17" t="s">
        <v>35</v>
      </c>
      <c r="C21" s="18" t="n">
        <f aca="false">IF(E21&gt;0,1,0)</f>
        <v>0</v>
      </c>
      <c r="D21" s="7" t="s">
        <v>28</v>
      </c>
      <c r="E21" s="18" t="n">
        <v>0</v>
      </c>
    </row>
    <row r="22" customFormat="false" ht="13.8" hidden="false" customHeight="false" outlineLevel="0" collapsed="false">
      <c r="A22" s="7" t="n">
        <v>9</v>
      </c>
      <c r="B22" s="17" t="s">
        <v>36</v>
      </c>
      <c r="C22" s="18" t="n">
        <f aca="false">IF(E22&gt;0,1,0)</f>
        <v>1</v>
      </c>
      <c r="D22" s="7" t="s">
        <v>28</v>
      </c>
      <c r="E22" s="18" t="n">
        <v>17729</v>
      </c>
      <c r="F22" s="0" t="n">
        <v>18061</v>
      </c>
    </row>
    <row r="23" customFormat="false" ht="13.8" hidden="false" customHeight="false" outlineLevel="0" collapsed="false">
      <c r="A23" s="7" t="n">
        <v>10</v>
      </c>
      <c r="B23" s="17" t="s">
        <v>37</v>
      </c>
      <c r="C23" s="18" t="n">
        <f aca="false">IF(E23&gt;0,1,0)</f>
        <v>1</v>
      </c>
      <c r="D23" s="7" t="s">
        <v>28</v>
      </c>
      <c r="E23" s="18" t="n">
        <v>295</v>
      </c>
    </row>
    <row r="24" customFormat="false" ht="13.8" hidden="false" customHeight="false" outlineLevel="0" collapsed="false">
      <c r="A24" s="7" t="n">
        <v>11</v>
      </c>
      <c r="B24" s="17" t="s">
        <v>38</v>
      </c>
      <c r="C24" s="18" t="n">
        <v>3460</v>
      </c>
      <c r="D24" s="7" t="s">
        <v>39</v>
      </c>
      <c r="E24" s="18" t="n">
        <f aca="false">3460*4.4</f>
        <v>15224</v>
      </c>
    </row>
    <row r="25" customFormat="false" ht="13.8" hidden="false" customHeight="false" outlineLevel="0" collapsed="false">
      <c r="A25" s="7" t="n">
        <v>12</v>
      </c>
      <c r="B25" s="17" t="s">
        <v>40</v>
      </c>
      <c r="C25" s="18" t="n">
        <f aca="false">IF(E25&gt;0,1,0)</f>
        <v>1</v>
      </c>
      <c r="D25" s="7" t="s">
        <v>39</v>
      </c>
      <c r="E25" s="18" t="n">
        <v>8768</v>
      </c>
    </row>
    <row r="26" customFormat="false" ht="13.8" hidden="true" customHeight="false" outlineLevel="0" collapsed="false">
      <c r="A26" s="7" t="n">
        <v>13</v>
      </c>
      <c r="B26" s="17" t="s">
        <v>41</v>
      </c>
      <c r="C26" s="18" t="n">
        <f aca="false">IF(E26&gt;0,1,0)</f>
        <v>0</v>
      </c>
      <c r="D26" s="7" t="s">
        <v>39</v>
      </c>
      <c r="E26" s="18" t="n">
        <v>0</v>
      </c>
    </row>
    <row r="27" customFormat="false" ht="13.8" hidden="true" customHeight="false" outlineLevel="0" collapsed="false">
      <c r="A27" s="7" t="n">
        <v>14</v>
      </c>
      <c r="B27" s="17" t="s">
        <v>42</v>
      </c>
      <c r="C27" s="18" t="n">
        <f aca="false">IF(E27&gt;0,1,0)</f>
        <v>0</v>
      </c>
      <c r="D27" s="7" t="s">
        <v>39</v>
      </c>
      <c r="E27" s="18" t="n">
        <v>0</v>
      </c>
    </row>
    <row r="28" customFormat="false" ht="13.8" hidden="false" customHeight="false" outlineLevel="0" collapsed="false">
      <c r="A28" s="7" t="n">
        <v>15</v>
      </c>
      <c r="B28" s="17" t="s">
        <v>43</v>
      </c>
      <c r="C28" s="18" t="n">
        <f aca="false">IF(E28&gt;0,1,0)</f>
        <v>1</v>
      </c>
      <c r="D28" s="7" t="s">
        <v>28</v>
      </c>
      <c r="E28" s="18" t="n">
        <v>1722</v>
      </c>
    </row>
    <row r="29" customFormat="false" ht="15" hidden="true" customHeight="false" outlineLevel="0" collapsed="false">
      <c r="A29" s="7" t="n">
        <v>16</v>
      </c>
      <c r="B29" s="17" t="s">
        <v>44</v>
      </c>
      <c r="C29" s="18" t="n">
        <f aca="false">IF(E29&gt;0,1,0)</f>
        <v>0</v>
      </c>
      <c r="D29" s="7" t="s">
        <v>28</v>
      </c>
      <c r="E29" s="18" t="n">
        <v>0</v>
      </c>
    </row>
    <row r="30" customFormat="false" ht="15" hidden="true" customHeight="false" outlineLevel="0" collapsed="false">
      <c r="A30" s="7" t="n">
        <v>17</v>
      </c>
      <c r="B30" s="17" t="s">
        <v>45</v>
      </c>
      <c r="C30" s="18" t="n">
        <f aca="false">IF(E30&gt;0,1,0)</f>
        <v>0</v>
      </c>
      <c r="D30" s="7" t="s">
        <v>28</v>
      </c>
      <c r="E30" s="18" t="n">
        <v>0</v>
      </c>
    </row>
    <row r="31" customFormat="false" ht="15" hidden="true" customHeight="false" outlineLevel="0" collapsed="false">
      <c r="A31" s="7" t="n">
        <v>18</v>
      </c>
      <c r="B31" s="17" t="s">
        <v>46</v>
      </c>
      <c r="C31" s="18" t="n">
        <f aca="false">IF(E31&gt;0,1,0)</f>
        <v>0</v>
      </c>
      <c r="D31" s="7" t="s">
        <v>47</v>
      </c>
      <c r="E31" s="7" t="n">
        <v>0</v>
      </c>
    </row>
    <row r="32" customFormat="false" ht="15" hidden="true" customHeight="false" outlineLevel="0" collapsed="false">
      <c r="A32" s="7" t="n">
        <v>19</v>
      </c>
      <c r="B32" s="17" t="s">
        <v>48</v>
      </c>
      <c r="C32" s="18" t="n">
        <f aca="false">IF(E32&gt;0,1,0)</f>
        <v>0</v>
      </c>
      <c r="D32" s="7" t="s">
        <v>28</v>
      </c>
      <c r="E32" s="7" t="n">
        <v>0</v>
      </c>
    </row>
    <row r="33" customFormat="false" ht="15" hidden="true" customHeight="false" outlineLevel="0" collapsed="false">
      <c r="A33" s="7" t="n">
        <v>20</v>
      </c>
      <c r="B33" s="17" t="s">
        <v>49</v>
      </c>
      <c r="C33" s="18" t="n">
        <f aca="false">IF(E33&gt;0,1,0)</f>
        <v>0</v>
      </c>
      <c r="D33" s="7" t="s">
        <v>28</v>
      </c>
      <c r="E33" s="7" t="n">
        <v>0</v>
      </c>
    </row>
    <row r="34" customFormat="false" ht="15" hidden="true" customHeight="false" outlineLevel="0" collapsed="false">
      <c r="A34" s="7" t="n">
        <v>21</v>
      </c>
      <c r="B34" s="17" t="s">
        <v>50</v>
      </c>
      <c r="C34" s="18" t="n">
        <f aca="false">IF(E34&gt;0,1,0)</f>
        <v>0</v>
      </c>
      <c r="D34" s="7" t="s">
        <v>39</v>
      </c>
      <c r="E34" s="7" t="n">
        <v>0</v>
      </c>
    </row>
    <row r="35" customFormat="false" ht="15" hidden="true" customHeight="false" outlineLevel="0" collapsed="false">
      <c r="A35" s="7" t="n">
        <v>22</v>
      </c>
      <c r="B35" s="17" t="s">
        <v>51</v>
      </c>
      <c r="C35" s="18" t="n">
        <f aca="false">IF(E35&gt;0,1,0)</f>
        <v>0</v>
      </c>
      <c r="D35" s="7" t="s">
        <v>28</v>
      </c>
      <c r="E35" s="18" t="n">
        <v>0</v>
      </c>
    </row>
    <row r="36" customFormat="false" ht="15" hidden="true" customHeight="false" outlineLevel="0" collapsed="false">
      <c r="A36" s="7" t="n">
        <v>23</v>
      </c>
      <c r="B36" s="17" t="s">
        <v>52</v>
      </c>
      <c r="C36" s="18" t="n">
        <f aca="false">IF(E36&gt;0,1,0)</f>
        <v>0</v>
      </c>
      <c r="D36" s="7" t="s">
        <v>28</v>
      </c>
      <c r="E36" s="18" t="n">
        <v>0</v>
      </c>
    </row>
    <row r="37" customFormat="false" ht="15" hidden="true" customHeight="false" outlineLevel="0" collapsed="false">
      <c r="A37" s="7" t="n">
        <v>24</v>
      </c>
      <c r="B37" s="17" t="s">
        <v>53</v>
      </c>
      <c r="C37" s="18" t="n">
        <f aca="false">IF(E37&gt;0,1,0)</f>
        <v>0</v>
      </c>
      <c r="D37" s="7" t="s">
        <v>28</v>
      </c>
      <c r="E37" s="18" t="n">
        <v>0</v>
      </c>
    </row>
    <row r="38" customFormat="false" ht="15" hidden="true" customHeight="false" outlineLevel="0" collapsed="false">
      <c r="A38" s="7" t="n">
        <v>25</v>
      </c>
      <c r="B38" s="17" t="s">
        <v>54</v>
      </c>
      <c r="C38" s="18" t="n">
        <f aca="false">IF(E38&gt;0,1,0)</f>
        <v>0</v>
      </c>
      <c r="D38" s="7" t="s">
        <v>28</v>
      </c>
      <c r="E38" s="7" t="n">
        <v>0</v>
      </c>
    </row>
    <row r="39" customFormat="false" ht="15" hidden="true" customHeight="false" outlineLevel="0" collapsed="false">
      <c r="A39" s="7" t="n">
        <v>26</v>
      </c>
      <c r="B39" s="17" t="s">
        <v>55</v>
      </c>
      <c r="C39" s="18" t="n">
        <f aca="false">IF(E39&gt;0,1,0)</f>
        <v>0</v>
      </c>
      <c r="D39" s="7" t="s">
        <v>28</v>
      </c>
      <c r="E39" s="7" t="n">
        <v>0</v>
      </c>
    </row>
    <row r="40" customFormat="false" ht="15" hidden="true" customHeight="false" outlineLevel="0" collapsed="false">
      <c r="A40" s="7" t="n">
        <v>27</v>
      </c>
      <c r="B40" s="17" t="s">
        <v>56</v>
      </c>
      <c r="C40" s="18" t="n">
        <f aca="false">IF(E40&gt;0,1,0)</f>
        <v>0</v>
      </c>
      <c r="D40" s="7" t="s">
        <v>28</v>
      </c>
      <c r="E40" s="7" t="n">
        <v>0</v>
      </c>
    </row>
    <row r="41" customFormat="false" ht="15" hidden="true" customHeight="false" outlineLevel="0" collapsed="false">
      <c r="A41" s="7" t="n">
        <v>28</v>
      </c>
      <c r="B41" s="17" t="s">
        <v>57</v>
      </c>
      <c r="C41" s="18" t="n">
        <f aca="false">IF(E41&gt;0,1,0)</f>
        <v>0</v>
      </c>
      <c r="D41" s="7" t="s">
        <v>28</v>
      </c>
      <c r="E41" s="7" t="n">
        <v>0</v>
      </c>
    </row>
    <row r="42" customFormat="false" ht="15" hidden="false" customHeight="false" outlineLevel="0" collapsed="false">
      <c r="A42" s="20"/>
      <c r="B42" s="21"/>
      <c r="C42" s="20"/>
      <c r="D42" s="20" t="s">
        <v>58</v>
      </c>
      <c r="E42" s="22" t="n">
        <f aca="false">SUM(E14:E41)</f>
        <v>167776.7</v>
      </c>
    </row>
    <row r="56" customFormat="false" ht="15" hidden="false" customHeight="false" outlineLevel="0" collapsed="false">
      <c r="A56" s="2"/>
      <c r="B56" s="1"/>
      <c r="E56" s="2"/>
    </row>
  </sheetData>
  <autoFilter ref="A13:E42"/>
  <mergeCells count="3">
    <mergeCell ref="B1:C1"/>
    <mergeCell ref="D1:E1"/>
    <mergeCell ref="A4:A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73046875" defaultRowHeight="15" zeroHeight="false" outlineLevelRow="0" outlineLevelCol="0"/>
  <cols>
    <col collapsed="false" customWidth="true" hidden="false" outlineLevel="0" max="1" min="1" style="2" width="11.99"/>
    <col collapsed="false" customWidth="true" hidden="false" outlineLevel="0" max="2" min="2" style="0" width="34.42"/>
    <col collapsed="false" customWidth="true" hidden="false" outlineLevel="0" max="3" min="3" style="0" width="76"/>
  </cols>
  <sheetData>
    <row r="1" customFormat="false" ht="15" hidden="false" customHeight="false" outlineLevel="0" collapsed="false">
      <c r="A1" s="23" t="s">
        <v>22</v>
      </c>
      <c r="B1" s="23" t="s">
        <v>23</v>
      </c>
      <c r="C1" s="23" t="s">
        <v>59</v>
      </c>
    </row>
    <row r="2" customFormat="false" ht="15" hidden="false" customHeight="false" outlineLevel="0" collapsed="false">
      <c r="A2" s="7" t="n">
        <v>1</v>
      </c>
      <c r="B2" s="24" t="s">
        <v>27</v>
      </c>
      <c r="C2" s="24" t="s">
        <v>60</v>
      </c>
    </row>
    <row r="3" customFormat="false" ht="15" hidden="false" customHeight="false" outlineLevel="0" collapsed="false">
      <c r="A3" s="7" t="n">
        <v>2</v>
      </c>
      <c r="B3" s="24" t="s">
        <v>34</v>
      </c>
      <c r="C3" s="24" t="s">
        <v>61</v>
      </c>
    </row>
    <row r="4" customFormat="false" ht="15" hidden="false" customHeight="false" outlineLevel="0" collapsed="false">
      <c r="A4" s="7" t="n">
        <v>3</v>
      </c>
      <c r="B4" s="24" t="s">
        <v>35</v>
      </c>
      <c r="C4" s="24" t="s">
        <v>62</v>
      </c>
    </row>
    <row r="5" customFormat="false" ht="15" hidden="false" customHeight="false" outlineLevel="0" collapsed="false">
      <c r="A5" s="7" t="n">
        <v>4</v>
      </c>
      <c r="B5" s="24" t="s">
        <v>63</v>
      </c>
      <c r="C5" s="24" t="s">
        <v>64</v>
      </c>
    </row>
    <row r="6" customFormat="false" ht="15" hidden="false" customHeight="false" outlineLevel="0" collapsed="false">
      <c r="A6" s="7" t="n">
        <v>5</v>
      </c>
      <c r="B6" s="24" t="s">
        <v>30</v>
      </c>
      <c r="C6" s="24" t="s">
        <v>65</v>
      </c>
    </row>
    <row r="7" customFormat="false" ht="15" hidden="false" customHeight="false" outlineLevel="0" collapsed="false">
      <c r="A7" s="7" t="n">
        <v>6</v>
      </c>
      <c r="B7" s="24" t="s">
        <v>31</v>
      </c>
      <c r="C7" s="24" t="s">
        <v>66</v>
      </c>
    </row>
    <row r="8" customFormat="false" ht="15" hidden="false" customHeight="false" outlineLevel="0" collapsed="false">
      <c r="A8" s="7" t="n">
        <v>7</v>
      </c>
      <c r="B8" s="24" t="s">
        <v>32</v>
      </c>
      <c r="C8" s="24" t="s">
        <v>67</v>
      </c>
    </row>
    <row r="9" customFormat="false" ht="43.15" hidden="false" customHeight="true" outlineLevel="0" collapsed="false">
      <c r="A9" s="7" t="n">
        <v>8</v>
      </c>
      <c r="B9" s="24" t="s">
        <v>9</v>
      </c>
      <c r="C9" s="25" t="s">
        <v>68</v>
      </c>
    </row>
    <row r="10" customFormat="false" ht="15" hidden="false" customHeight="false" outlineLevel="0" collapsed="false">
      <c r="A10" s="7" t="n">
        <v>9</v>
      </c>
      <c r="B10" s="24" t="s">
        <v>14</v>
      </c>
      <c r="C10" s="24" t="s">
        <v>69</v>
      </c>
    </row>
    <row r="11" customFormat="false" ht="15" hidden="false" customHeight="false" outlineLevel="0" collapsed="false">
      <c r="A11" s="7" t="n">
        <v>10</v>
      </c>
      <c r="B11" s="24" t="s">
        <v>37</v>
      </c>
      <c r="C11" s="24" t="s">
        <v>70</v>
      </c>
    </row>
    <row r="12" customFormat="false" ht="15" hidden="false" customHeight="false" outlineLevel="0" collapsed="false">
      <c r="A12" s="7" t="n">
        <v>11</v>
      </c>
      <c r="B12" s="24" t="s">
        <v>38</v>
      </c>
      <c r="C12" s="24" t="s">
        <v>71</v>
      </c>
    </row>
    <row r="13" customFormat="false" ht="15" hidden="false" customHeight="false" outlineLevel="0" collapsed="false">
      <c r="A13" s="7" t="n">
        <v>12</v>
      </c>
      <c r="B13" s="24" t="s">
        <v>40</v>
      </c>
      <c r="C13" s="24" t="s">
        <v>72</v>
      </c>
    </row>
    <row r="14" customFormat="false" ht="15" hidden="false" customHeight="false" outlineLevel="0" collapsed="false">
      <c r="A14" s="7" t="n">
        <v>13</v>
      </c>
      <c r="B14" s="17" t="s">
        <v>41</v>
      </c>
      <c r="C14" s="24" t="s">
        <v>73</v>
      </c>
    </row>
    <row r="15" customFormat="false" ht="15" hidden="false" customHeight="false" outlineLevel="0" collapsed="false">
      <c r="A15" s="7" t="n">
        <v>14</v>
      </c>
      <c r="B15" s="17" t="s">
        <v>42</v>
      </c>
      <c r="C15" s="24" t="s">
        <v>74</v>
      </c>
    </row>
    <row r="16" customFormat="false" ht="43.15" hidden="false" customHeight="true" outlineLevel="0" collapsed="false">
      <c r="A16" s="7" t="n">
        <v>15</v>
      </c>
      <c r="B16" s="24" t="s">
        <v>43</v>
      </c>
      <c r="C16" s="25" t="s">
        <v>75</v>
      </c>
    </row>
    <row r="17" customFormat="false" ht="15" hidden="false" customHeight="false" outlineLevel="0" collapsed="false">
      <c r="A17" s="7" t="n">
        <v>16</v>
      </c>
      <c r="B17" s="17" t="s">
        <v>44</v>
      </c>
      <c r="C17" s="24" t="s">
        <v>76</v>
      </c>
    </row>
    <row r="18" customFormat="false" ht="15" hidden="false" customHeight="false" outlineLevel="0" collapsed="false">
      <c r="A18" s="7" t="n">
        <v>17</v>
      </c>
      <c r="B18" s="24" t="s">
        <v>45</v>
      </c>
      <c r="C18" s="24" t="s">
        <v>77</v>
      </c>
    </row>
    <row r="19" customFormat="false" ht="15" hidden="false" customHeight="false" outlineLevel="0" collapsed="false">
      <c r="A19" s="7" t="n">
        <v>18</v>
      </c>
      <c r="B19" s="24" t="s">
        <v>46</v>
      </c>
      <c r="C19" s="24"/>
    </row>
    <row r="20" customFormat="false" ht="15" hidden="false" customHeight="false" outlineLevel="0" collapsed="false">
      <c r="A20" s="7" t="n">
        <v>19</v>
      </c>
      <c r="B20" s="24" t="s">
        <v>48</v>
      </c>
      <c r="C20" s="24" t="s">
        <v>78</v>
      </c>
    </row>
    <row r="21" customFormat="false" ht="15" hidden="false" customHeight="false" outlineLevel="0" collapsed="false">
      <c r="A21" s="7" t="n">
        <v>20</v>
      </c>
      <c r="B21" s="24" t="s">
        <v>49</v>
      </c>
      <c r="C21" s="24" t="s">
        <v>78</v>
      </c>
    </row>
    <row r="22" customFormat="false" ht="15" hidden="false" customHeight="false" outlineLevel="0" collapsed="false">
      <c r="A22" s="7" t="n">
        <v>21</v>
      </c>
      <c r="B22" s="24" t="s">
        <v>50</v>
      </c>
      <c r="C22" s="24" t="s">
        <v>78</v>
      </c>
    </row>
    <row r="23" customFormat="false" ht="15" hidden="false" customHeight="false" outlineLevel="0" collapsed="false">
      <c r="A23" s="7" t="n">
        <v>22</v>
      </c>
      <c r="B23" s="24" t="s">
        <v>51</v>
      </c>
      <c r="C23" s="24" t="s">
        <v>79</v>
      </c>
    </row>
    <row r="24" customFormat="false" ht="15" hidden="false" customHeight="false" outlineLevel="0" collapsed="false">
      <c r="A24" s="7" t="n">
        <v>23</v>
      </c>
      <c r="B24" s="24" t="s">
        <v>52</v>
      </c>
      <c r="C24" s="24" t="s">
        <v>80</v>
      </c>
    </row>
    <row r="25" customFormat="false" ht="15" hidden="false" customHeight="false" outlineLevel="0" collapsed="false">
      <c r="A25" s="7" t="n">
        <v>24</v>
      </c>
      <c r="B25" s="17" t="s">
        <v>53</v>
      </c>
      <c r="C25" s="24" t="s">
        <v>81</v>
      </c>
    </row>
    <row r="26" customFormat="false" ht="15" hidden="false" customHeight="false" outlineLevel="0" collapsed="false">
      <c r="A26" s="7" t="n">
        <v>25</v>
      </c>
      <c r="B26" s="24" t="s">
        <v>54</v>
      </c>
      <c r="C26" s="24" t="s">
        <v>78</v>
      </c>
    </row>
    <row r="27" customFormat="false" ht="15" hidden="false" customHeight="false" outlineLevel="0" collapsed="false">
      <c r="A27" s="7" t="n">
        <v>26</v>
      </c>
      <c r="B27" s="24" t="s">
        <v>55</v>
      </c>
      <c r="C27" s="24" t="s">
        <v>78</v>
      </c>
    </row>
    <row r="28" customFormat="false" ht="15" hidden="false" customHeight="false" outlineLevel="0" collapsed="false">
      <c r="A28" s="7" t="n">
        <v>27</v>
      </c>
      <c r="B28" s="24" t="s">
        <v>56</v>
      </c>
      <c r="C28" s="24" t="s">
        <v>78</v>
      </c>
    </row>
    <row r="29" customFormat="false" ht="15" hidden="false" customHeight="false" outlineLevel="0" collapsed="false">
      <c r="A29" s="7" t="n">
        <v>28</v>
      </c>
      <c r="B29" s="24" t="s">
        <v>57</v>
      </c>
      <c r="C29" s="24" t="s">
        <v>78</v>
      </c>
    </row>
    <row r="31" customFormat="false" ht="15" hidden="false" customHeight="false" outlineLevel="0" collapsed="false">
      <c r="A31" s="2" t="n">
        <v>1</v>
      </c>
      <c r="B31" s="0" t="s">
        <v>82</v>
      </c>
    </row>
    <row r="32" customFormat="false" ht="15" hidden="false" customHeight="false" outlineLevel="0" collapsed="false">
      <c r="A32" s="2" t="n">
        <v>2</v>
      </c>
      <c r="B32" s="0" t="s">
        <v>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2020-03-13T08:57:58Z</dcterms:created>
  <dc:creator>Design</dc:creator>
  <dc:description/>
  <dc:language>en-US</dc:language>
  <cp:lastModifiedBy/>
  <cp:lastPrinted>2020-09-02T13:17:23Z</cp:lastPrinted>
  <dcterms:modified xsi:type="dcterms:W3CDTF">2026-03-25T11:24:33Z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