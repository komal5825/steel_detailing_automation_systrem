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s\e\2_Ghana\Job ID-1300-1400\Q-1392_ParkingStructure\Proposal\R3\OPT3_10th FLOOR\"/>
    </mc:Choice>
  </mc:AlternateContent>
  <bookViews>
    <workbookView xWindow="0" yWindow="0" windowWidth="16380" windowHeight="8190" tabRatio="500"/>
  </bookViews>
  <sheets>
    <sheet name="PEB-Estimates-Mezz" sheetId="2" r:id="rId1"/>
  </sheets>
  <definedNames>
    <definedName name="___xlfn_IFERROR">NA()</definedName>
    <definedName name="__xlfn_IFERROR">NA()</definedName>
    <definedName name="_xlnm._FilterDatabase" localSheetId="0" hidden="1">'PEB-Estimates-Mezz'!$A$10:$F$70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" i="2" l="1"/>
  <c r="E11" i="2" l="1"/>
  <c r="E33" i="2" l="1"/>
  <c r="E22" i="2"/>
  <c r="E20" i="2"/>
  <c r="E12" i="2"/>
  <c r="C34" i="2" l="1"/>
  <c r="C69" i="2"/>
  <c r="C50" i="2"/>
  <c r="F7" i="2"/>
  <c r="F34" i="2" l="1"/>
  <c r="F69" i="2" l="1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3" i="2"/>
  <c r="F42" i="2"/>
  <c r="F41" i="2"/>
  <c r="F40" i="2"/>
  <c r="F39" i="2"/>
  <c r="F38" i="2"/>
  <c r="F37" i="2"/>
  <c r="F35" i="2"/>
  <c r="F36" i="2" s="1"/>
  <c r="F32" i="2"/>
  <c r="F31" i="2"/>
  <c r="F30" i="2"/>
  <c r="F29" i="2"/>
  <c r="F28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B9" i="2" l="1"/>
  <c r="C9" i="2" s="1"/>
  <c r="B8" i="2"/>
  <c r="C8" i="2" s="1"/>
  <c r="B7" i="2"/>
  <c r="C7" i="2" s="1"/>
  <c r="F27" i="2"/>
  <c r="F33" i="2"/>
  <c r="B6" i="2" l="1"/>
  <c r="C6" i="2" s="1"/>
  <c r="F70" i="2"/>
  <c r="C5" i="2" s="1"/>
  <c r="F8" i="2" s="1"/>
  <c r="F9" i="2" s="1"/>
</calcChain>
</file>

<file path=xl/sharedStrings.xml><?xml version="1.0" encoding="utf-8"?>
<sst xmlns="http://schemas.openxmlformats.org/spreadsheetml/2006/main" count="136" uniqueCount="89">
  <si>
    <t>Date:</t>
  </si>
  <si>
    <t xml:space="preserve">Location: </t>
  </si>
  <si>
    <t>Ghana</t>
  </si>
  <si>
    <t>Designed by:</t>
  </si>
  <si>
    <t xml:space="preserve">Building: </t>
  </si>
  <si>
    <t>Checked by:</t>
  </si>
  <si>
    <t xml:space="preserve">Option:  </t>
  </si>
  <si>
    <t>Revision:</t>
  </si>
  <si>
    <t xml:space="preserve">Total Weight in kg: </t>
  </si>
  <si>
    <t>Kg</t>
  </si>
  <si>
    <t xml:space="preserve">Primary </t>
  </si>
  <si>
    <t>Eave Height</t>
  </si>
  <si>
    <t>Secondary</t>
  </si>
  <si>
    <t>Area</t>
  </si>
  <si>
    <t>Sheeting</t>
  </si>
  <si>
    <t>Density(kg/m2)</t>
  </si>
  <si>
    <t>Accessories</t>
  </si>
  <si>
    <t>Density(kg/m3)</t>
  </si>
  <si>
    <t>Description</t>
  </si>
  <si>
    <t>Quantity</t>
  </si>
  <si>
    <t>Unit</t>
  </si>
  <si>
    <t>Unit Wt.</t>
  </si>
  <si>
    <t>Weight (kg)</t>
  </si>
  <si>
    <t>Nos.</t>
  </si>
  <si>
    <t>Rigid Frame (Built-up I-Section) Intermediate frames</t>
  </si>
  <si>
    <t xml:space="preserve"> Endwall frames</t>
  </si>
  <si>
    <t xml:space="preserve">Partition column sets </t>
  </si>
  <si>
    <t>Strut/Tie members</t>
  </si>
  <si>
    <t>m</t>
  </si>
  <si>
    <t>Canopy rafters</t>
  </si>
  <si>
    <t>Eave extension rafters</t>
  </si>
  <si>
    <t>Roof monitor (Built-up I-Section) frames</t>
  </si>
  <si>
    <t>Backup beams &amp; Kicker members</t>
  </si>
  <si>
    <t>Portal bracing (Built-up I-Section)</t>
  </si>
  <si>
    <t>Mezzanine assembly (Built-up I-Section)</t>
  </si>
  <si>
    <t>Crane brackets (Built-up I-Section)</t>
  </si>
  <si>
    <t>Crane beam (Built-up I-Section)</t>
  </si>
  <si>
    <t>Crane beam supports (Kicker angles, stopper, etc.)</t>
  </si>
  <si>
    <t>Walkways &amp; Handrail</t>
  </si>
  <si>
    <t>Endplate Connections (% of frame weight)</t>
  </si>
  <si>
    <t>Rod Bracing @wall &amp; roof</t>
  </si>
  <si>
    <t>Angle Bracing</t>
  </si>
  <si>
    <t xml:space="preserve">Mezzanine/ Crane Bracing @wall </t>
  </si>
  <si>
    <t>Chequered plates</t>
  </si>
  <si>
    <t>sq m</t>
  </si>
  <si>
    <t>Anchor Bolts @ rigid frame</t>
  </si>
  <si>
    <t>Connection bolt &amp; accessories</t>
  </si>
  <si>
    <t>No of Cleats</t>
  </si>
  <si>
    <t>Flange Brace angles - 1000mm (Length)</t>
  </si>
  <si>
    <t>Flange Brace Connection (% of flange brace wt.)</t>
  </si>
  <si>
    <t>Purlins, Girts &amp; Eave struts</t>
  </si>
  <si>
    <t>Canopy Soffit secondary</t>
  </si>
  <si>
    <t>Roof monitor secondary</t>
  </si>
  <si>
    <t>Header arrangement of Valley gutter</t>
  </si>
  <si>
    <t>Header &amp; Jambs for opennings</t>
  </si>
  <si>
    <t>Mezzanine edge angles</t>
  </si>
  <si>
    <t>Roof  Sheeting (Aluzinc coated steel panels)</t>
  </si>
  <si>
    <t>Roof  Sheeting (Standing Seam panels)</t>
  </si>
  <si>
    <t>Wall Sheeting (Aluzinc coated steel panels)</t>
  </si>
  <si>
    <t>Partition sheeting</t>
  </si>
  <si>
    <t>Facia sheeting</t>
  </si>
  <si>
    <t>Canopy Sheeting (Aluzinc coated steel panels)</t>
  </si>
  <si>
    <t>Roof monitor sheeting</t>
  </si>
  <si>
    <t>Eave gutter</t>
  </si>
  <si>
    <t>Valley gutter</t>
  </si>
  <si>
    <t>Liner panels</t>
  </si>
  <si>
    <t>Standard trims</t>
  </si>
  <si>
    <t>Special trims</t>
  </si>
  <si>
    <t>Eave &amp; Gable angles</t>
  </si>
  <si>
    <t>Double sliding door (5.0 X 5.0)</t>
  </si>
  <si>
    <t>m2</t>
  </si>
  <si>
    <t xml:space="preserve">Roll up door </t>
  </si>
  <si>
    <t>Wall light (3.25 x 1.0m)</t>
  </si>
  <si>
    <t xml:space="preserve">Turbo-vent 600 mm dia. </t>
  </si>
  <si>
    <t>External Cage ladder using angles</t>
  </si>
  <si>
    <t>Internal Cage ladder using ISMC sections</t>
  </si>
  <si>
    <t>Ridge vent(0.6m wide throat )</t>
  </si>
  <si>
    <t>Staircase</t>
  </si>
  <si>
    <t>Bird mesh</t>
  </si>
  <si>
    <t>Louvers / Windows</t>
  </si>
  <si>
    <t>Puff panels</t>
  </si>
  <si>
    <t>Insulation sheets</t>
  </si>
  <si>
    <t>Hand rail (Standard)</t>
  </si>
  <si>
    <t xml:space="preserve">MISC. ITEMS </t>
  </si>
  <si>
    <t>Deck Sheeting (0.7mm thick)</t>
  </si>
  <si>
    <t>Q-1392</t>
  </si>
  <si>
    <t>RSG</t>
  </si>
  <si>
    <t>VVJ</t>
  </si>
  <si>
    <t>Joists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</si>
</sst>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\-??_);_(@_)"/>
    <numFmt numFmtId="165" formatCode="[$-F800]dddd&quot;, &quot;mmmm\ dd&quot;, &quot;yyyy"/>
    <numFmt numFmtId="166" formatCode="0.0"/>
  </numFmts>
  <fonts count="10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9" fillId="0" borderId="0" applyBorder="0" applyProtection="0"/>
    <xf numFmtId="9" fontId="9" fillId="0" borderId="0" applyBorder="0" applyProtection="0"/>
    <xf numFmtId="164" fontId="1" fillId="0" borderId="0" applyBorder="0" applyProtection="0"/>
    <xf numFmtId="0" fontId="2" fillId="0" borderId="0"/>
    <xf numFmtId="0" fontId="1" fillId="0" borderId="0"/>
    <xf numFmtId="9" fontId="1" fillId="0" borderId="0" applyBorder="0" applyProtection="0"/>
    <xf numFmtId="0" fontId="9" fillId="2" borderId="1" applyProtection="0"/>
  </cellStyleXfs>
  <cellXfs count="38">
    <xf numFmtId="0" fontId="0" fillId="0" borderId="0" xfId="0"/>
    <xf numFmtId="1" fontId="0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left" vertical="center"/>
    </xf>
    <xf numFmtId="1" fontId="0" fillId="0" borderId="2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1" fontId="0" fillId="0" borderId="2" xfId="0" applyNumberForma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left" vertical="center"/>
    </xf>
    <xf numFmtId="1" fontId="0" fillId="4" borderId="2" xfId="7" applyNumberFormat="1" applyFont="1" applyFill="1" applyBorder="1" applyAlignment="1" applyProtection="1">
      <alignment horizontal="center" vertical="center"/>
      <protection locked="0"/>
    </xf>
    <xf numFmtId="1" fontId="0" fillId="0" borderId="2" xfId="7" applyNumberFormat="1" applyFont="1" applyFill="1" applyBorder="1" applyAlignment="1" applyProtection="1">
      <alignment horizontal="center" vertical="center"/>
    </xf>
    <xf numFmtId="1" fontId="0" fillId="0" borderId="2" xfId="1" applyNumberFormat="1" applyFont="1" applyBorder="1" applyAlignment="1" applyProtection="1">
      <alignment vertical="center"/>
    </xf>
    <xf numFmtId="9" fontId="0" fillId="4" borderId="2" xfId="7" applyNumberFormat="1" applyFont="1" applyFill="1" applyBorder="1" applyAlignment="1" applyProtection="1">
      <alignment horizontal="center" vertical="center"/>
      <protection locked="0"/>
    </xf>
    <xf numFmtId="1" fontId="0" fillId="5" borderId="2" xfId="7" applyNumberFormat="1" applyFont="1" applyFill="1" applyBorder="1" applyAlignment="1" applyProtection="1">
      <alignment horizontal="center" vertical="center"/>
    </xf>
    <xf numFmtId="1" fontId="0" fillId="4" borderId="2" xfId="0" applyNumberFormat="1" applyFont="1" applyFill="1" applyBorder="1" applyAlignment="1" applyProtection="1">
      <alignment horizontal="center" vertical="center"/>
      <protection locked="0"/>
    </xf>
    <xf numFmtId="166" fontId="0" fillId="4" borderId="2" xfId="0" applyNumberFormat="1" applyFont="1" applyFill="1" applyBorder="1" applyAlignment="1" applyProtection="1">
      <alignment horizontal="center" vertical="center"/>
      <protection locked="0"/>
    </xf>
    <xf numFmtId="1" fontId="0" fillId="4" borderId="2" xfId="2" applyNumberFormat="1" applyFont="1" applyFill="1" applyBorder="1" applyAlignment="1" applyProtection="1">
      <alignment horizontal="center" vertical="center"/>
      <protection locked="0"/>
    </xf>
    <xf numFmtId="1" fontId="0" fillId="3" borderId="2" xfId="7" applyNumberFormat="1" applyFont="1" applyFill="1" applyBorder="1" applyAlignment="1" applyProtection="1">
      <alignment horizontal="center" vertical="center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 applyBorder="1"/>
    <xf numFmtId="1" fontId="0" fillId="4" borderId="0" xfId="7" applyNumberFormat="1" applyFont="1" applyFill="1" applyBorder="1" applyAlignment="1" applyProtection="1">
      <alignment horizontal="center" vertical="center"/>
      <protection locked="0"/>
    </xf>
    <xf numFmtId="1" fontId="0" fillId="0" borderId="0" xfId="7" applyNumberFormat="1" applyFont="1" applyFill="1" applyBorder="1" applyAlignment="1" applyProtection="1">
      <alignment horizontal="center" vertical="center"/>
    </xf>
    <xf numFmtId="1" fontId="0" fillId="0" borderId="0" xfId="1" applyNumberFormat="1" applyFont="1" applyBorder="1" applyAlignment="1" applyProtection="1">
      <alignment vertical="center"/>
    </xf>
    <xf numFmtId="2" fontId="0" fillId="4" borderId="2" xfId="0" applyNumberFormat="1" applyFont="1" applyFill="1" applyBorder="1" applyAlignment="1" applyProtection="1">
      <alignment horizontal="center" vertical="center"/>
      <protection locked="0"/>
    </xf>
    <xf numFmtId="1" fontId="0" fillId="6" borderId="2" xfId="0" applyNumberFormat="1" applyFont="1" applyFill="1" applyBorder="1" applyAlignment="1">
      <alignment horizontal="left" vertical="center"/>
    </xf>
    <xf numFmtId="1" fontId="0" fillId="6" borderId="2" xfId="0" applyNumberFormat="1" applyFill="1" applyBorder="1" applyAlignment="1">
      <alignment horizontal="center" vertical="center"/>
    </xf>
    <xf numFmtId="1" fontId="0" fillId="0" borderId="0" xfId="7" applyNumberFormat="1" applyFont="1" applyFill="1" applyBorder="1" applyAlignment="1" applyProtection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center"/>
    </xf>
    <xf numFmtId="1" fontId="7" fillId="3" borderId="2" xfId="0" applyNumberFormat="1" applyFont="1" applyFill="1" applyBorder="1" applyAlignment="1">
      <alignment horizontal="left" vertical="center"/>
    </xf>
    <xf numFmtId="1" fontId="0" fillId="0" borderId="2" xfId="7" applyNumberFormat="1" applyFont="1" applyFill="1" applyBorder="1" applyAlignment="1" applyProtection="1">
      <alignment horizontal="left" vertical="center" wrapText="1"/>
    </xf>
    <xf numFmtId="1" fontId="8" fillId="0" borderId="2" xfId="7" applyNumberFormat="1" applyFont="1" applyFill="1" applyBorder="1" applyAlignment="1" applyProtection="1">
      <alignment horizontal="left" vertical="center" wrapText="1"/>
    </xf>
    <xf numFmtId="1" fontId="0" fillId="0" borderId="2" xfId="0" applyNumberFormat="1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left" vertical="center" wrapText="1"/>
    </xf>
  </cellXfs>
  <cellStyles count="8">
    <cellStyle name="Comma" xfId="1" builtinId="3"/>
    <cellStyle name="Comma 2" xfId="3"/>
    <cellStyle name="Excel_BuiltIn_Note 1" xfId="7"/>
    <cellStyle name="Normal" xfId="0" builtinId="0"/>
    <cellStyle name="Normal 2" xfId="4"/>
    <cellStyle name="Normal 3" xfId="5"/>
    <cellStyle name="Percent" xfId="2" builtinId="5"/>
    <cellStyle name="Percent 2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19080</xdr:colOff>
      <xdr:row>0</xdr:row>
      <xdr:rowOff>28440</xdr:rowOff>
    </xdr:from>
    <xdr:to>
      <xdr:col>3</xdr:col>
      <xdr:colOff>485280</xdr:colOff>
      <xdr:row>4</xdr:row>
      <xdr:rowOff>18720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264480" y="28440"/>
          <a:ext cx="1271880" cy="780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70"/>
  <sheetViews>
    <sheetView tabSelected="1" zoomScaleNormal="100" workbookViewId="0">
      <selection activeCell="I50" sqref="I50"/>
    </sheetView>
  </sheetViews>
  <sheetFormatPr defaultColWidth="8.7109375" defaultRowHeight="15" x14ac:dyDescent="0.25"/>
  <cols>
    <col min="1" max="1" width="12.140625" customWidth="1"/>
    <col min="2" max="2" width="33.85546875" customWidth="1"/>
    <col min="3" max="3" width="11.42578125" customWidth="1"/>
    <col min="4" max="4" width="7.42578125" customWidth="1"/>
    <col min="5" max="5" width="14.140625" customWidth="1"/>
    <col min="6" max="6" width="17.85546875" customWidth="1"/>
  </cols>
  <sheetData>
    <row r="1" spans="1:6" ht="17.25" x14ac:dyDescent="0.25">
      <c r="A1" s="30" t="s">
        <v>85</v>
      </c>
      <c r="B1" s="30"/>
      <c r="C1" s="31"/>
      <c r="D1" s="31"/>
      <c r="E1" s="1" t="s">
        <v>0</v>
      </c>
      <c r="F1" s="2">
        <v>45877</v>
      </c>
    </row>
    <row r="2" spans="1:6" x14ac:dyDescent="0.25">
      <c r="A2" s="1" t="s">
        <v>1</v>
      </c>
      <c r="B2" s="3" t="s">
        <v>2</v>
      </c>
      <c r="C2" s="31"/>
      <c r="D2" s="31"/>
      <c r="E2" s="1" t="s">
        <v>3</v>
      </c>
      <c r="F2" s="4" t="s">
        <v>86</v>
      </c>
    </row>
    <row r="3" spans="1:6" x14ac:dyDescent="0.25">
      <c r="A3" s="5" t="s">
        <v>4</v>
      </c>
      <c r="B3" s="6">
        <v>1</v>
      </c>
      <c r="C3" s="31"/>
      <c r="D3" s="31"/>
      <c r="E3" s="1" t="s">
        <v>5</v>
      </c>
      <c r="F3" s="4" t="s">
        <v>87</v>
      </c>
    </row>
    <row r="4" spans="1:6" x14ac:dyDescent="0.25">
      <c r="A4" s="1" t="s">
        <v>6</v>
      </c>
      <c r="B4" s="27">
        <v>4</v>
      </c>
      <c r="C4" s="31"/>
      <c r="D4" s="31"/>
      <c r="E4" s="1" t="s">
        <v>7</v>
      </c>
      <c r="F4" s="28">
        <v>1</v>
      </c>
    </row>
    <row r="5" spans="1:6" ht="17.25" x14ac:dyDescent="0.25">
      <c r="A5" s="30" t="s">
        <v>8</v>
      </c>
      <c r="B5" s="30"/>
      <c r="C5" s="32">
        <f>SUM(F11:F70)</f>
        <v>2581414.8139999998</v>
      </c>
      <c r="D5" s="32"/>
      <c r="E5" s="32"/>
      <c r="F5" s="32"/>
    </row>
    <row r="6" spans="1:6" ht="15.75" x14ac:dyDescent="0.25">
      <c r="A6" s="7" t="s">
        <v>10</v>
      </c>
      <c r="B6" s="8">
        <f>SUM(F11:F36)*1.1</f>
        <v>2177716.2000000002</v>
      </c>
      <c r="C6">
        <f>B6/F7</f>
        <v>48.189157133057471</v>
      </c>
      <c r="D6" s="8" t="s">
        <v>9</v>
      </c>
      <c r="E6" s="6" t="s">
        <v>11</v>
      </c>
      <c r="F6" s="9">
        <v>32.65</v>
      </c>
    </row>
    <row r="7" spans="1:6" x14ac:dyDescent="0.25">
      <c r="A7" s="7" t="s">
        <v>12</v>
      </c>
      <c r="B7" s="8">
        <f>SUM(F36:F41)*1.1</f>
        <v>9383</v>
      </c>
      <c r="C7">
        <f>B7/F7</f>
        <v>0.20762983779956187</v>
      </c>
      <c r="D7" s="8" t="s">
        <v>9</v>
      </c>
      <c r="E7" s="6" t="s">
        <v>13</v>
      </c>
      <c r="F7" s="10">
        <f>3925+3925*10+2016</f>
        <v>45191</v>
      </c>
    </row>
    <row r="8" spans="1:6" ht="15.75" x14ac:dyDescent="0.25">
      <c r="A8" s="7" t="s">
        <v>14</v>
      </c>
      <c r="B8" s="8">
        <f>SUM(F43:F50)*1.1</f>
        <v>298830.35600000003</v>
      </c>
      <c r="C8">
        <f>B8/F7</f>
        <v>6.6126077316279801</v>
      </c>
      <c r="D8" s="8" t="s">
        <v>9</v>
      </c>
      <c r="E8" s="6" t="s">
        <v>15</v>
      </c>
      <c r="F8" s="9">
        <f>C5/F7</f>
        <v>57.122321125887893</v>
      </c>
    </row>
    <row r="9" spans="1:6" ht="15.75" x14ac:dyDescent="0.25">
      <c r="A9" s="7" t="s">
        <v>16</v>
      </c>
      <c r="B9" s="8">
        <f>SUM(F54:F69)*1.1</f>
        <v>95485.258000000002</v>
      </c>
      <c r="C9">
        <f>B9/F7</f>
        <v>2.1129264234028899</v>
      </c>
      <c r="D9" s="8" t="s">
        <v>9</v>
      </c>
      <c r="E9" s="6" t="s">
        <v>17</v>
      </c>
      <c r="F9" s="9">
        <f>F8/F6</f>
        <v>1.7495351033962603</v>
      </c>
    </row>
    <row r="10" spans="1:6" ht="15.75" x14ac:dyDescent="0.25">
      <c r="A10" s="33" t="s">
        <v>18</v>
      </c>
      <c r="B10" s="33"/>
      <c r="C10" s="11" t="s">
        <v>19</v>
      </c>
      <c r="D10" s="11" t="s">
        <v>20</v>
      </c>
      <c r="E10" s="11" t="s">
        <v>21</v>
      </c>
      <c r="F10" s="11" t="s">
        <v>22</v>
      </c>
    </row>
    <row r="11" spans="1:6" ht="15" customHeight="1" x14ac:dyDescent="0.25">
      <c r="A11" s="34" t="s">
        <v>34</v>
      </c>
      <c r="B11" s="34"/>
      <c r="C11" s="12">
        <v>1</v>
      </c>
      <c r="D11" s="13" t="s">
        <v>23</v>
      </c>
      <c r="E11" s="12">
        <f>(50200*12+43800*3)+(7800*12+6100*3)+5000</f>
        <v>850700</v>
      </c>
      <c r="F11" s="14">
        <f t="shared" ref="F11:F25" si="0">C11*E11</f>
        <v>850700</v>
      </c>
    </row>
    <row r="12" spans="1:6" ht="15" customHeight="1" x14ac:dyDescent="0.25">
      <c r="A12" s="34" t="s">
        <v>24</v>
      </c>
      <c r="B12" s="34"/>
      <c r="C12" s="12">
        <v>1</v>
      </c>
      <c r="D12" s="13" t="s">
        <v>23</v>
      </c>
      <c r="E12" s="12">
        <f>18150+3687</f>
        <v>21837</v>
      </c>
      <c r="F12" s="14">
        <f t="shared" si="0"/>
        <v>21837</v>
      </c>
    </row>
    <row r="13" spans="1:6" ht="15" hidden="1" customHeight="1" x14ac:dyDescent="0.25">
      <c r="A13" s="34" t="s">
        <v>25</v>
      </c>
      <c r="B13" s="34"/>
      <c r="C13" s="12"/>
      <c r="D13" s="13" t="s">
        <v>23</v>
      </c>
      <c r="E13" s="12"/>
      <c r="F13" s="14">
        <f t="shared" si="0"/>
        <v>0</v>
      </c>
    </row>
    <row r="14" spans="1:6" ht="15" hidden="1" customHeight="1" x14ac:dyDescent="0.25">
      <c r="A14" s="34" t="s">
        <v>26</v>
      </c>
      <c r="B14" s="34"/>
      <c r="C14" s="12"/>
      <c r="D14" s="13" t="s">
        <v>23</v>
      </c>
      <c r="E14" s="12"/>
      <c r="F14" s="14">
        <f t="shared" si="0"/>
        <v>0</v>
      </c>
    </row>
    <row r="15" spans="1:6" ht="15" hidden="1" customHeight="1" x14ac:dyDescent="0.25">
      <c r="A15" s="34" t="s">
        <v>27</v>
      </c>
      <c r="B15" s="34"/>
      <c r="C15" s="12"/>
      <c r="D15" s="13" t="s">
        <v>28</v>
      </c>
      <c r="E15" s="12"/>
      <c r="F15" s="14">
        <f t="shared" si="0"/>
        <v>0</v>
      </c>
    </row>
    <row r="16" spans="1:6" ht="15" hidden="1" customHeight="1" x14ac:dyDescent="0.25">
      <c r="A16" s="34" t="s">
        <v>29</v>
      </c>
      <c r="B16" s="34"/>
      <c r="C16" s="12"/>
      <c r="D16" s="13" t="s">
        <v>23</v>
      </c>
      <c r="E16" s="12"/>
      <c r="F16" s="14">
        <f t="shared" si="0"/>
        <v>0</v>
      </c>
    </row>
    <row r="17" spans="1:20" ht="15" hidden="1" customHeight="1" x14ac:dyDescent="0.25">
      <c r="A17" s="34" t="s">
        <v>30</v>
      </c>
      <c r="B17" s="34"/>
      <c r="C17" s="12"/>
      <c r="D17" s="13" t="s">
        <v>23</v>
      </c>
      <c r="E17" s="12"/>
      <c r="F17" s="14">
        <f t="shared" si="0"/>
        <v>0</v>
      </c>
    </row>
    <row r="18" spans="1:20" ht="15" hidden="1" customHeight="1" x14ac:dyDescent="0.25">
      <c r="A18" s="34" t="s">
        <v>31</v>
      </c>
      <c r="B18" s="34"/>
      <c r="C18" s="12"/>
      <c r="D18" s="13" t="s">
        <v>23</v>
      </c>
      <c r="E18" s="12"/>
      <c r="F18" s="14">
        <f t="shared" si="0"/>
        <v>0</v>
      </c>
    </row>
    <row r="19" spans="1:20" ht="15" hidden="1" customHeight="1" x14ac:dyDescent="0.25">
      <c r="A19" s="34" t="s">
        <v>32</v>
      </c>
      <c r="B19" s="34"/>
      <c r="C19" s="12"/>
      <c r="D19" s="13" t="s">
        <v>23</v>
      </c>
      <c r="E19" s="12"/>
      <c r="F19" s="14">
        <f t="shared" si="0"/>
        <v>0</v>
      </c>
    </row>
    <row r="20" spans="1:20" ht="15" customHeight="1" x14ac:dyDescent="0.25">
      <c r="A20" s="34" t="s">
        <v>33</v>
      </c>
      <c r="B20" s="34"/>
      <c r="C20" s="12">
        <v>1</v>
      </c>
      <c r="D20" s="13" t="s">
        <v>23</v>
      </c>
      <c r="E20" s="12">
        <f>58300*3+16300+2000</f>
        <v>193200</v>
      </c>
      <c r="F20" s="14">
        <f t="shared" si="0"/>
        <v>193200</v>
      </c>
    </row>
    <row r="21" spans="1:20" ht="15" hidden="1" customHeight="1" x14ac:dyDescent="0.25">
      <c r="A21" s="34" t="s">
        <v>34</v>
      </c>
      <c r="B21" s="34"/>
      <c r="C21" s="12"/>
      <c r="D21" s="13" t="s">
        <v>23</v>
      </c>
      <c r="E21" s="12"/>
      <c r="F21" s="14">
        <f t="shared" si="0"/>
        <v>0</v>
      </c>
    </row>
    <row r="22" spans="1:20" ht="15" customHeight="1" x14ac:dyDescent="0.25">
      <c r="A22" s="34" t="s">
        <v>88</v>
      </c>
      <c r="B22" s="34"/>
      <c r="C22" s="12">
        <v>1</v>
      </c>
      <c r="D22" s="13" t="s">
        <v>23</v>
      </c>
      <c r="E22" s="12">
        <f>(5060*11+4460*3)*10</f>
        <v>690400</v>
      </c>
      <c r="F22" s="14">
        <f t="shared" si="0"/>
        <v>690400</v>
      </c>
    </row>
    <row r="23" spans="1:20" ht="15" hidden="1" customHeight="1" x14ac:dyDescent="0.25">
      <c r="A23" s="34" t="s">
        <v>35</v>
      </c>
      <c r="B23" s="34"/>
      <c r="C23" s="12"/>
      <c r="D23" s="13" t="s">
        <v>23</v>
      </c>
      <c r="E23" s="12"/>
      <c r="F23" s="14">
        <f t="shared" si="0"/>
        <v>0</v>
      </c>
    </row>
    <row r="24" spans="1:20" ht="15" hidden="1" customHeight="1" x14ac:dyDescent="0.25">
      <c r="A24" s="34" t="s">
        <v>36</v>
      </c>
      <c r="B24" s="34"/>
      <c r="C24" s="12"/>
      <c r="D24" s="13" t="s">
        <v>28</v>
      </c>
      <c r="E24" s="12"/>
      <c r="F24" s="14">
        <f t="shared" si="0"/>
        <v>0</v>
      </c>
    </row>
    <row r="25" spans="1:20" ht="15" hidden="1" customHeight="1" x14ac:dyDescent="0.25">
      <c r="A25" s="34" t="s">
        <v>37</v>
      </c>
      <c r="B25" s="34"/>
      <c r="C25" s="12"/>
      <c r="D25" s="13"/>
      <c r="E25" s="12"/>
      <c r="F25" s="14">
        <f t="shared" si="0"/>
        <v>0</v>
      </c>
    </row>
    <row r="26" spans="1:20" ht="15" hidden="1" customHeight="1" x14ac:dyDescent="0.25">
      <c r="A26" s="34" t="s">
        <v>38</v>
      </c>
      <c r="B26" s="34"/>
      <c r="C26" s="12"/>
      <c r="D26" s="13" t="s">
        <v>28</v>
      </c>
      <c r="E26" s="12"/>
      <c r="F26" s="14"/>
    </row>
    <row r="27" spans="1:20" ht="15" hidden="1" customHeight="1" x14ac:dyDescent="0.25">
      <c r="A27" s="34" t="s">
        <v>39</v>
      </c>
      <c r="B27" s="34"/>
      <c r="C27" s="15"/>
      <c r="D27" s="13"/>
      <c r="E27" s="12"/>
      <c r="F27" s="14">
        <f>C27*SUM(F11:F24)</f>
        <v>0</v>
      </c>
    </row>
    <row r="28" spans="1:20" ht="15" hidden="1" customHeight="1" x14ac:dyDescent="0.25">
      <c r="A28" s="34" t="s">
        <v>40</v>
      </c>
      <c r="B28" s="34"/>
      <c r="C28" s="12"/>
      <c r="D28" s="13"/>
      <c r="E28" s="12"/>
      <c r="F28" s="14">
        <f t="shared" ref="F28:F35" si="1">C28*E28</f>
        <v>0</v>
      </c>
    </row>
    <row r="29" spans="1:20" ht="15" hidden="1" customHeight="1" x14ac:dyDescent="0.25">
      <c r="A29" s="34" t="s">
        <v>41</v>
      </c>
      <c r="B29" s="34"/>
      <c r="C29" s="12"/>
      <c r="D29" s="13"/>
      <c r="E29" s="12"/>
      <c r="F29" s="14">
        <f t="shared" si="1"/>
        <v>0</v>
      </c>
    </row>
    <row r="30" spans="1:20" ht="15" hidden="1" customHeight="1" x14ac:dyDescent="0.25">
      <c r="A30" s="34" t="s">
        <v>42</v>
      </c>
      <c r="B30" s="34"/>
      <c r="C30" s="12"/>
      <c r="D30" s="13"/>
      <c r="E30" s="12"/>
      <c r="F30" s="14">
        <f t="shared" si="1"/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1:20" ht="15" hidden="1" customHeight="1" x14ac:dyDescent="0.25">
      <c r="A31" s="34" t="s">
        <v>43</v>
      </c>
      <c r="B31" s="34"/>
      <c r="C31" s="12"/>
      <c r="D31" s="13" t="s">
        <v>44</v>
      </c>
      <c r="E31" s="12"/>
      <c r="F31" s="14">
        <f t="shared" si="1"/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1:20" ht="15" hidden="1" customHeight="1" x14ac:dyDescent="0.25">
      <c r="A32" s="34" t="s">
        <v>45</v>
      </c>
      <c r="B32" s="34"/>
      <c r="C32" s="12"/>
      <c r="D32" s="13" t="s">
        <v>23</v>
      </c>
      <c r="E32" s="12"/>
      <c r="F32" s="14">
        <f t="shared" si="1"/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 ht="15" customHeight="1" x14ac:dyDescent="0.25">
      <c r="A33" s="34" t="s">
        <v>46</v>
      </c>
      <c r="B33" s="34"/>
      <c r="C33" s="12">
        <v>1</v>
      </c>
      <c r="D33" s="13" t="s">
        <v>23</v>
      </c>
      <c r="E33" s="12">
        <f>162085+22560*2</f>
        <v>207205</v>
      </c>
      <c r="F33" s="14">
        <f t="shared" si="1"/>
        <v>207205</v>
      </c>
      <c r="J33" s="22"/>
      <c r="K33" s="29"/>
      <c r="L33" s="29"/>
      <c r="M33" s="23"/>
      <c r="N33" s="24"/>
      <c r="O33" s="23"/>
      <c r="P33" s="25"/>
      <c r="Q33" s="22"/>
      <c r="R33" s="22"/>
      <c r="S33" s="22"/>
      <c r="T33" s="22"/>
    </row>
    <row r="34" spans="1:20" ht="15" customHeight="1" x14ac:dyDescent="0.25">
      <c r="A34" s="35" t="s">
        <v>55</v>
      </c>
      <c r="B34" s="35"/>
      <c r="C34" s="17">
        <f>260*10</f>
        <v>2600</v>
      </c>
      <c r="D34" s="16" t="s">
        <v>28</v>
      </c>
      <c r="E34" s="17">
        <v>6</v>
      </c>
      <c r="F34" s="14">
        <f t="shared" si="1"/>
        <v>15600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ht="15" customHeight="1" x14ac:dyDescent="0.25">
      <c r="A35" s="34" t="s">
        <v>48</v>
      </c>
      <c r="B35" s="34"/>
      <c r="C35" s="12">
        <v>1</v>
      </c>
      <c r="D35" s="13" t="s">
        <v>23</v>
      </c>
      <c r="E35" s="12">
        <v>800</v>
      </c>
      <c r="F35" s="14">
        <f t="shared" si="1"/>
        <v>800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ht="15" hidden="1" customHeight="1" x14ac:dyDescent="0.25">
      <c r="A36" s="34" t="s">
        <v>49</v>
      </c>
      <c r="B36" s="34"/>
      <c r="C36" s="15"/>
      <c r="D36" s="13"/>
      <c r="E36" s="12"/>
      <c r="F36" s="14">
        <f>C36*F35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ht="15" customHeight="1" x14ac:dyDescent="0.25">
      <c r="A37" s="35" t="s">
        <v>50</v>
      </c>
      <c r="B37" s="35"/>
      <c r="C37" s="12">
        <v>1</v>
      </c>
      <c r="D37" s="16"/>
      <c r="E37" s="12">
        <v>8530</v>
      </c>
      <c r="F37" s="14">
        <f t="shared" ref="F37:F43" si="2">C37*E37</f>
        <v>8530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ht="15" hidden="1" customHeight="1" x14ac:dyDescent="0.25">
      <c r="A38" s="35" t="s">
        <v>51</v>
      </c>
      <c r="B38" s="35"/>
      <c r="C38" s="17"/>
      <c r="D38" s="16"/>
      <c r="E38" s="17"/>
      <c r="F38" s="14">
        <f t="shared" si="2"/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ht="15" hidden="1" customHeight="1" x14ac:dyDescent="0.25">
      <c r="A39" s="35" t="s">
        <v>52</v>
      </c>
      <c r="B39" s="35"/>
      <c r="C39" s="17"/>
      <c r="D39" s="16"/>
      <c r="E39" s="17"/>
      <c r="F39" s="14">
        <f t="shared" si="2"/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15" hidden="1" customHeight="1" x14ac:dyDescent="0.25">
      <c r="A40" s="35" t="s">
        <v>53</v>
      </c>
      <c r="B40" s="35"/>
      <c r="C40" s="17"/>
      <c r="D40" s="16"/>
      <c r="E40" s="17"/>
      <c r="F40" s="14">
        <f t="shared" si="2"/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5" hidden="1" customHeight="1" x14ac:dyDescent="0.25">
      <c r="A41" s="35" t="s">
        <v>54</v>
      </c>
      <c r="B41" s="35"/>
      <c r="C41" s="17"/>
      <c r="D41" s="16" t="s">
        <v>28</v>
      </c>
      <c r="E41" s="17"/>
      <c r="F41" s="14">
        <f t="shared" si="2"/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ht="15" hidden="1" customHeight="1" x14ac:dyDescent="0.25">
      <c r="A42" s="34" t="s">
        <v>47</v>
      </c>
      <c r="B42" s="34"/>
      <c r="C42" s="17"/>
      <c r="D42" s="13" t="s">
        <v>23</v>
      </c>
      <c r="E42" s="17"/>
      <c r="F42" s="14">
        <f t="shared" si="2"/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ht="15" customHeight="1" x14ac:dyDescent="0.25">
      <c r="A43" s="36" t="s">
        <v>56</v>
      </c>
      <c r="B43" s="36"/>
      <c r="C43" s="17">
        <v>2016</v>
      </c>
      <c r="D43" s="13" t="s">
        <v>44</v>
      </c>
      <c r="E43" s="26">
        <v>4.3099999999999996</v>
      </c>
      <c r="F43" s="14">
        <f t="shared" si="2"/>
        <v>8688.9599999999991</v>
      </c>
    </row>
    <row r="44" spans="1:20" ht="15" hidden="1" customHeight="1" x14ac:dyDescent="0.25">
      <c r="A44" s="36" t="s">
        <v>57</v>
      </c>
      <c r="B44" s="36"/>
      <c r="C44" s="17"/>
      <c r="D44" s="13" t="s">
        <v>44</v>
      </c>
      <c r="E44" s="17"/>
      <c r="F44" s="14"/>
    </row>
    <row r="45" spans="1:20" ht="15" hidden="1" customHeight="1" x14ac:dyDescent="0.25">
      <c r="A45" s="36" t="s">
        <v>58</v>
      </c>
      <c r="B45" s="36"/>
      <c r="C45" s="17"/>
      <c r="D45" s="13" t="s">
        <v>44</v>
      </c>
      <c r="E45" s="26">
        <v>4.78</v>
      </c>
      <c r="F45" s="14">
        <f t="shared" ref="F45:F69" si="3">C45*E45</f>
        <v>0</v>
      </c>
    </row>
    <row r="46" spans="1:20" ht="15" hidden="1" customHeight="1" x14ac:dyDescent="0.25">
      <c r="A46" s="36" t="s">
        <v>59</v>
      </c>
      <c r="B46" s="36"/>
      <c r="C46" s="17"/>
      <c r="D46" s="13" t="s">
        <v>44</v>
      </c>
      <c r="E46" s="17"/>
      <c r="F46" s="14">
        <f t="shared" si="3"/>
        <v>0</v>
      </c>
    </row>
    <row r="47" spans="1:20" ht="15" hidden="1" customHeight="1" x14ac:dyDescent="0.25">
      <c r="A47" s="36" t="s">
        <v>60</v>
      </c>
      <c r="B47" s="36"/>
      <c r="C47" s="17"/>
      <c r="D47" s="13" t="s">
        <v>44</v>
      </c>
      <c r="E47" s="17"/>
      <c r="F47" s="14">
        <f t="shared" si="3"/>
        <v>0</v>
      </c>
    </row>
    <row r="48" spans="1:20" ht="15" hidden="1" customHeight="1" x14ac:dyDescent="0.25">
      <c r="A48" s="36" t="s">
        <v>61</v>
      </c>
      <c r="B48" s="36"/>
      <c r="C48" s="17"/>
      <c r="D48" s="13" t="s">
        <v>44</v>
      </c>
      <c r="E48" s="26">
        <v>4.78</v>
      </c>
      <c r="F48" s="14">
        <f t="shared" si="3"/>
        <v>0</v>
      </c>
    </row>
    <row r="49" spans="1:8" ht="15" hidden="1" customHeight="1" x14ac:dyDescent="0.25">
      <c r="A49" s="36" t="s">
        <v>62</v>
      </c>
      <c r="B49" s="36"/>
      <c r="C49" s="17"/>
      <c r="D49" s="13" t="s">
        <v>23</v>
      </c>
      <c r="E49" s="17"/>
      <c r="F49" s="14">
        <f t="shared" si="3"/>
        <v>0</v>
      </c>
    </row>
    <row r="50" spans="1:8" ht="15" customHeight="1" x14ac:dyDescent="0.25">
      <c r="A50" s="36" t="s">
        <v>84</v>
      </c>
      <c r="B50" s="36"/>
      <c r="C50" s="17">
        <f>3925*10</f>
        <v>39250</v>
      </c>
      <c r="D50" s="13" t="s">
        <v>44</v>
      </c>
      <c r="E50" s="18">
        <v>6.7</v>
      </c>
      <c r="F50" s="14">
        <f t="shared" si="3"/>
        <v>262975</v>
      </c>
      <c r="H50">
        <f>C50*9.58</f>
        <v>376015</v>
      </c>
    </row>
    <row r="51" spans="1:8" ht="15" hidden="1" customHeight="1" x14ac:dyDescent="0.25">
      <c r="A51" s="36" t="s">
        <v>63</v>
      </c>
      <c r="B51" s="36"/>
      <c r="C51" s="17"/>
      <c r="D51" s="13" t="s">
        <v>28</v>
      </c>
      <c r="E51" s="17"/>
      <c r="F51" s="14">
        <f t="shared" si="3"/>
        <v>0</v>
      </c>
    </row>
    <row r="52" spans="1:8" ht="15" hidden="1" customHeight="1" x14ac:dyDescent="0.25">
      <c r="A52" s="36" t="s">
        <v>64</v>
      </c>
      <c r="B52" s="36"/>
      <c r="C52" s="17"/>
      <c r="D52" s="13" t="s">
        <v>28</v>
      </c>
      <c r="E52" s="12"/>
      <c r="F52" s="14">
        <f t="shared" si="3"/>
        <v>0</v>
      </c>
    </row>
    <row r="53" spans="1:8" ht="15" hidden="1" customHeight="1" x14ac:dyDescent="0.25">
      <c r="A53" s="36" t="s">
        <v>65</v>
      </c>
      <c r="B53" s="36"/>
      <c r="C53" s="17"/>
      <c r="D53" s="13" t="s">
        <v>44</v>
      </c>
      <c r="E53" s="12"/>
      <c r="F53" s="14">
        <f t="shared" si="3"/>
        <v>0</v>
      </c>
    </row>
    <row r="54" spans="1:8" ht="15" customHeight="1" x14ac:dyDescent="0.25">
      <c r="A54" s="36" t="s">
        <v>66</v>
      </c>
      <c r="B54" s="36"/>
      <c r="C54" s="19">
        <v>1</v>
      </c>
      <c r="D54" s="13"/>
      <c r="E54" s="26">
        <v>4.78</v>
      </c>
      <c r="F54" s="14">
        <f t="shared" si="3"/>
        <v>4.78</v>
      </c>
    </row>
    <row r="55" spans="1:8" ht="15" hidden="1" customHeight="1" x14ac:dyDescent="0.25">
      <c r="A55" s="36" t="s">
        <v>67</v>
      </c>
      <c r="B55" s="36"/>
      <c r="C55" s="19"/>
      <c r="D55" s="13"/>
      <c r="E55" s="17"/>
      <c r="F55" s="14">
        <f t="shared" si="3"/>
        <v>0</v>
      </c>
    </row>
    <row r="56" spans="1:8" ht="15" hidden="1" customHeight="1" x14ac:dyDescent="0.25">
      <c r="A56" s="36" t="s">
        <v>68</v>
      </c>
      <c r="B56" s="36"/>
      <c r="C56" s="19"/>
      <c r="D56" s="13" t="s">
        <v>28</v>
      </c>
      <c r="E56" s="17"/>
      <c r="F56" s="14">
        <f t="shared" si="3"/>
        <v>0</v>
      </c>
    </row>
    <row r="57" spans="1:8" ht="15" hidden="1" customHeight="1" x14ac:dyDescent="0.25">
      <c r="A57" s="37" t="s">
        <v>69</v>
      </c>
      <c r="B57" s="37"/>
      <c r="C57" s="12"/>
      <c r="D57" s="20" t="s">
        <v>70</v>
      </c>
      <c r="E57" s="12">
        <v>60</v>
      </c>
      <c r="F57" s="14">
        <f t="shared" si="3"/>
        <v>0</v>
      </c>
    </row>
    <row r="58" spans="1:8" ht="15" hidden="1" customHeight="1" x14ac:dyDescent="0.25">
      <c r="A58" s="37" t="s">
        <v>71</v>
      </c>
      <c r="B58" s="37"/>
      <c r="C58" s="12"/>
      <c r="D58" s="20" t="s">
        <v>23</v>
      </c>
      <c r="E58" s="12"/>
      <c r="F58" s="14">
        <f t="shared" si="3"/>
        <v>0</v>
      </c>
    </row>
    <row r="59" spans="1:8" ht="15" hidden="1" customHeight="1" x14ac:dyDescent="0.25">
      <c r="A59" s="35" t="s">
        <v>72</v>
      </c>
      <c r="B59" s="35"/>
      <c r="C59" s="12"/>
      <c r="D59" s="20" t="s">
        <v>23</v>
      </c>
      <c r="E59" s="17"/>
      <c r="F59" s="14">
        <f t="shared" si="3"/>
        <v>0</v>
      </c>
    </row>
    <row r="60" spans="1:8" ht="15" hidden="1" customHeight="1" x14ac:dyDescent="0.25">
      <c r="A60" s="35" t="s">
        <v>73</v>
      </c>
      <c r="B60" s="35"/>
      <c r="C60" s="12"/>
      <c r="D60" s="20" t="s">
        <v>23</v>
      </c>
      <c r="E60" s="17"/>
      <c r="F60" s="14">
        <f t="shared" si="3"/>
        <v>0</v>
      </c>
    </row>
    <row r="61" spans="1:8" ht="15" hidden="1" customHeight="1" x14ac:dyDescent="0.25">
      <c r="A61" s="35" t="s">
        <v>74</v>
      </c>
      <c r="B61" s="35"/>
      <c r="C61" s="12"/>
      <c r="D61" s="20" t="s">
        <v>28</v>
      </c>
      <c r="E61" s="17">
        <v>22</v>
      </c>
      <c r="F61" s="14">
        <f t="shared" si="3"/>
        <v>0</v>
      </c>
    </row>
    <row r="62" spans="1:8" ht="15" hidden="1" customHeight="1" x14ac:dyDescent="0.25">
      <c r="A62" s="35" t="s">
        <v>75</v>
      </c>
      <c r="B62" s="35"/>
      <c r="C62" s="12"/>
      <c r="D62" s="20" t="s">
        <v>28</v>
      </c>
      <c r="E62" s="17">
        <v>75</v>
      </c>
      <c r="F62" s="14">
        <f t="shared" si="3"/>
        <v>0</v>
      </c>
    </row>
    <row r="63" spans="1:8" ht="15" hidden="1" customHeight="1" x14ac:dyDescent="0.25">
      <c r="A63" s="35" t="s">
        <v>76</v>
      </c>
      <c r="B63" s="35"/>
      <c r="C63" s="17"/>
      <c r="D63" s="20" t="s">
        <v>28</v>
      </c>
      <c r="E63" s="17">
        <v>20</v>
      </c>
      <c r="F63" s="14">
        <f t="shared" si="3"/>
        <v>0</v>
      </c>
    </row>
    <row r="64" spans="1:8" ht="15" customHeight="1" x14ac:dyDescent="0.25">
      <c r="A64" s="35" t="s">
        <v>77</v>
      </c>
      <c r="B64" s="35"/>
      <c r="C64" s="12">
        <v>2</v>
      </c>
      <c r="D64" s="20" t="s">
        <v>23</v>
      </c>
      <c r="E64" s="12">
        <v>17400</v>
      </c>
      <c r="F64" s="14">
        <f t="shared" si="3"/>
        <v>34800</v>
      </c>
    </row>
    <row r="65" spans="1:6" ht="15" hidden="1" customHeight="1" x14ac:dyDescent="0.25">
      <c r="A65" s="35" t="s">
        <v>78</v>
      </c>
      <c r="B65" s="35"/>
      <c r="C65" s="12"/>
      <c r="D65" s="20" t="s">
        <v>44</v>
      </c>
      <c r="E65" s="12"/>
      <c r="F65" s="14">
        <f t="shared" si="3"/>
        <v>0</v>
      </c>
    </row>
    <row r="66" spans="1:6" ht="15" hidden="1" customHeight="1" x14ac:dyDescent="0.25">
      <c r="A66" s="35" t="s">
        <v>79</v>
      </c>
      <c r="B66" s="35"/>
      <c r="C66" s="12"/>
      <c r="D66" s="20" t="s">
        <v>23</v>
      </c>
      <c r="E66" s="12"/>
      <c r="F66" s="14">
        <f t="shared" si="3"/>
        <v>0</v>
      </c>
    </row>
    <row r="67" spans="1:6" ht="15" hidden="1" customHeight="1" x14ac:dyDescent="0.25">
      <c r="A67" s="35" t="s">
        <v>80</v>
      </c>
      <c r="B67" s="35"/>
      <c r="C67" s="12"/>
      <c r="D67" s="20" t="s">
        <v>44</v>
      </c>
      <c r="E67" s="12"/>
      <c r="F67" s="14">
        <f t="shared" si="3"/>
        <v>0</v>
      </c>
    </row>
    <row r="68" spans="1:6" ht="15" hidden="1" customHeight="1" x14ac:dyDescent="0.25">
      <c r="A68" s="35" t="s">
        <v>81</v>
      </c>
      <c r="B68" s="35"/>
      <c r="C68" s="12"/>
      <c r="D68" s="20" t="s">
        <v>44</v>
      </c>
      <c r="E68" s="12"/>
      <c r="F68" s="14">
        <f t="shared" si="3"/>
        <v>0</v>
      </c>
    </row>
    <row r="69" spans="1:6" ht="15" customHeight="1" x14ac:dyDescent="0.25">
      <c r="A69" s="35" t="s">
        <v>82</v>
      </c>
      <c r="B69" s="35"/>
      <c r="C69" s="17">
        <f>260*10</f>
        <v>2600</v>
      </c>
      <c r="D69" s="20" t="s">
        <v>28</v>
      </c>
      <c r="E69" s="21">
        <v>20</v>
      </c>
      <c r="F69" s="14">
        <f t="shared" si="3"/>
        <v>52000</v>
      </c>
    </row>
    <row r="70" spans="1:6" ht="15" customHeight="1" x14ac:dyDescent="0.25">
      <c r="A70" s="35" t="s">
        <v>83</v>
      </c>
      <c r="B70" s="35"/>
      <c r="C70" s="15">
        <v>0.1</v>
      </c>
      <c r="D70" s="20"/>
      <c r="E70" s="21"/>
      <c r="F70" s="14">
        <f>SUM(F11:F69)*C70</f>
        <v>234674.07399999999</v>
      </c>
    </row>
  </sheetData>
  <autoFilter ref="A10:F70">
    <filterColumn colId="2">
      <customFilters>
        <customFilter operator="notEqual" val=" "/>
      </customFilters>
    </filterColumn>
  </autoFilter>
  <mergeCells count="66">
    <mergeCell ref="A61:B61"/>
    <mergeCell ref="A67:B67"/>
    <mergeCell ref="A68:B68"/>
    <mergeCell ref="A69:B69"/>
    <mergeCell ref="A70:B70"/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K33:L33"/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PEB-Estimates-Mezz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Design</dc:creator>
  <dc:description/>
  <cp:lastModifiedBy>D3-2</cp:lastModifiedBy>
  <cp:revision>3</cp:revision>
  <cp:lastPrinted>2020-09-02T13:17:23Z</cp:lastPrinted>
  <dcterms:created xsi:type="dcterms:W3CDTF">2020-03-13T08:57:58Z</dcterms:created>
  <dcterms:modified xsi:type="dcterms:W3CDTF">2025-12-22T05:19:21Z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