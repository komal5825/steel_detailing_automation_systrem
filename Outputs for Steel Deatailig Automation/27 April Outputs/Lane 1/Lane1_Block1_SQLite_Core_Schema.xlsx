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QLite Core Schema Buil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<sst xmlns="http://schemas.openxmlformats.org/spreadsheetml/2006/main" count="282" uniqueCount="149">
  <si>
    <t xml:space="preserve">LANE 1 — BLOCK 1 │ SQLite Core Schema Build Tracker</t>
  </si>
  <si>
    <t xml:space="preserve">Steel Detailing Desktop System  ·  Frozen Baseline  ·  Lane 1 Execution Pack</t>
  </si>
  <si>
    <t xml:space="preserve">Prepared by:</t>
  </si>
  <si>
    <t xml:space="preserve">Lane 1 Block 1 Agent</t>
  </si>
  <si>
    <t xml:space="preserve">Date:</t>
  </si>
  <si>
    <t xml:space="preserve">2026-04-27</t>
  </si>
  <si>
    <t xml:space="preserve">v1.0</t>
  </si>
  <si>
    <t xml:space="preserve">#</t>
  </si>
  <si>
    <t xml:space="preserve">Table / Component</t>
  </si>
  <si>
    <t xml:space="preserve">Category</t>
  </si>
  <si>
    <t xml:space="preserve">Status</t>
  </si>
  <si>
    <t xml:space="preserve">FK / PK</t>
  </si>
  <si>
    <t xml:space="preserve">Constraint Type</t>
  </si>
  <si>
    <t xml:space="preserve">Notes / Complications</t>
  </si>
  <si>
    <t xml:space="preserve">Owner / Assignee</t>
  </si>
  <si>
    <t xml:space="preserve">── SECTION 1: CORE PROJECT TABLES ──</t>
  </si>
  <si>
    <t xml:space="preserve">project_master</t>
  </si>
  <si>
    <t xml:space="preserve">Core Table</t>
  </si>
  <si>
    <t xml:space="preserve">✅ Created</t>
  </si>
  <si>
    <t xml:space="preserve">✅ Verified</t>
  </si>
  <si>
    <t xml:space="preserve">PK · UNIQUE · CHECK</t>
  </si>
  <si>
    <t xml:space="preserve">project_code UNIQUE; is_active CHECK(0,1); auto-stamp updated_at via trigger</t>
  </si>
  <si>
    <t xml:space="preserve">Lane 1 Agent</t>
  </si>
  <si>
    <t xml:space="preserve">module_registry</t>
  </si>
  <si>
    <t xml:space="preserve">module_name UNIQUE; is_enabled CHECK(0,1)</t>
  </si>
  <si>
    <t xml:space="preserve">field_dictionary</t>
  </si>
  <si>
    <t xml:space="preserve">PK · FK → module_registry · UNIQUE · CHECK</t>
  </si>
  <si>
    <t xml:space="preserve">(module_id, field_name) composite UNIQUE; allowed_values JSON array for ENUMs; FK RESTRICT on delete</t>
  </si>
  <si>
    <t xml:space="preserve">── SECTION 2: RULE ENGINE TABLES ──</t>
  </si>
  <si>
    <t xml:space="preserve">validation_rule_master</t>
  </si>
  <si>
    <t xml:space="preserve">Rule Engine</t>
  </si>
  <si>
    <t xml:space="preserve">PK · FK × 2 · CHECK</t>
  </si>
  <si>
    <t xml:space="preserve">severity CHECK enforced; layer &amp; stage_scope columns ready for engine routing; FK on module_id RESTRICT, field_id SET NULL</t>
  </si>
  <si>
    <t xml:space="preserve">── SECTION 3: SOURCE MAPPING TABLES ──</t>
  </si>
  <si>
    <t xml:space="preserve">source_mapping_master</t>
  </si>
  <si>
    <t xml:space="preserve">Source Mapping</t>
  </si>
  <si>
    <t xml:space="preserve">PK · FK → field_dictionary · UNIQUE</t>
  </si>
  <si>
    <t xml:space="preserve">(field_id, source_system) UNIQUE; FK CASCADE on delete; priority ordinal column</t>
  </si>
  <si>
    <t xml:space="preserve">source_fallback_chain</t>
  </si>
  <si>
    <t xml:space="preserve">(field_id, fallback_order) UNIQUE; ordered fallback sequence; FK CASCADE on delete</t>
  </si>
  <si>
    <t xml:space="preserve">── SECTION 4: STAGE &amp; RESULT TABLES ──</t>
  </si>
  <si>
    <t xml:space="preserve">project_stage_status</t>
  </si>
  <si>
    <t xml:space="preserve">Stage Gate</t>
  </si>
  <si>
    <t xml:space="preserve">PK · FK → project_master · UNIQUE · CHECK</t>
  </si>
  <si>
    <t xml:space="preserve">stage CHECK S1–S10; gate_status CHECK(PENDING/OPEN/PASSED/BLOCKED/LOCKED); gate_result_json stores full snapshot</t>
  </si>
  <si>
    <t xml:space="preserve">validation_result</t>
  </si>
  <si>
    <t xml:space="preserve">Result Store</t>
  </si>
  <si>
    <t xml:space="preserve">PK · FK × 3 · CHECK</t>
  </si>
  <si>
    <t xml:space="preserve">outcome CHECK; severity_applied CHECK; run_id groups engine runs; field_value_snap captures value at validation time</t>
  </si>
  <si>
    <t xml:space="preserve">── SECTION 5: AUDIT TABLE ──</t>
  </si>
  <si>
    <t xml:space="preserve">audit_event_log</t>
  </si>
  <si>
    <t xml:space="preserve">Audit / Immutable</t>
  </si>
  <si>
    <t xml:space="preserve">PK · FK → project_master · CHECK</t>
  </si>
  <si>
    <t xml:space="preserve">is_immutable CHECK(=1); protected by trg_audit_no_update and trg_audit_no_delete; live-tested and confirmed ABORT on UPDATE and DELETE</t>
  </si>
  <si>
    <t xml:space="preserve">── SECTION 6: PRAGMA SETTINGS ──</t>
  </si>
  <si>
    <t xml:space="preserve">P1</t>
  </si>
  <si>
    <t xml:space="preserve">journal_mode = WAL</t>
  </si>
  <si>
    <t xml:space="preserve">PRAGMA</t>
  </si>
  <si>
    <t xml:space="preserve">N/A</t>
  </si>
  <si>
    <t xml:space="preserve">Runtime Setting</t>
  </si>
  <si>
    <t xml:space="preserve">Confirmed: PRAGMA returns 'wal'; required for concurrent reads during engine run</t>
  </si>
  <si>
    <t xml:space="preserve">P2</t>
  </si>
  <si>
    <t xml:space="preserve">foreign_keys = ON</t>
  </si>
  <si>
    <t xml:space="preserve">Per-Connection Setting</t>
  </si>
  <si>
    <t xml:space="preserve">Must be re-issued on each DB connection open. Engine init routine must include this.</t>
  </si>
  <si>
    <t xml:space="preserve">P3</t>
  </si>
  <si>
    <t xml:space="preserve">synchronous = NORMAL</t>
  </si>
  <si>
    <t xml:space="preserve">Balances write durability and performance for WAL mode</t>
  </si>
  <si>
    <t xml:space="preserve">P4</t>
  </si>
  <si>
    <t xml:space="preserve">temp_store = MEMORY</t>
  </si>
  <si>
    <t xml:space="preserve">Keeps temp tables in memory for engine speed</t>
  </si>
  <si>
    <t xml:space="preserve">P5</t>
  </si>
  <si>
    <t xml:space="preserve">cache_size = -32000</t>
  </si>
  <si>
    <t xml:space="preserve">32 MB cache; suitable for project-scale validation runs</t>
  </si>
  <si>
    <t xml:space="preserve">P6</t>
  </si>
  <si>
    <t xml:space="preserve">auto_vacuum = INCREMENTAL</t>
  </si>
  <si>
    <t xml:space="preserve">Prevents DB file bloat over iterative run sessions</t>
  </si>
  <si>
    <t xml:space="preserve">P7</t>
  </si>
  <si>
    <t xml:space="preserve">integrity_check</t>
  </si>
  <si>
    <t xml:space="preserve">Verification</t>
  </si>
  <si>
    <t xml:space="preserve">Confirmed: returns 'ok' after full schema build</t>
  </si>
  <si>
    <t xml:space="preserve">P8</t>
  </si>
  <si>
    <t xml:space="preserve">foreign_key_check</t>
  </si>
  <si>
    <t xml:space="preserve">Confirmed: no violations on fresh schema</t>
  </si>
  <si>
    <t xml:space="preserve">── SECTION 7: TRIGGERS ──</t>
  </si>
  <si>
    <t xml:space="preserve">T1</t>
  </si>
  <si>
    <t xml:space="preserve">trg_audit_no_update</t>
  </si>
  <si>
    <t xml:space="preserve">Trigger / Immutable</t>
  </si>
  <si>
    <t xml:space="preserve">BEFORE UPDATE</t>
  </si>
  <si>
    <t xml:space="preserve">ABORT with 'IMMUTABLE: audit_event_log rows cannot be updated.' — live-tested ✅</t>
  </si>
  <si>
    <t xml:space="preserve">T2</t>
  </si>
  <si>
    <t xml:space="preserve">trg_audit_no_delete</t>
  </si>
  <si>
    <t xml:space="preserve">BEFORE DELETE</t>
  </si>
  <si>
    <t xml:space="preserve">ABORT with 'IMMUTABLE: audit_event_log rows cannot be deleted.' — live-tested ✅</t>
  </si>
  <si>
    <t xml:space="preserve">T3</t>
  </si>
  <si>
    <t xml:space="preserve">trg_pm_updated_at</t>
  </si>
  <si>
    <t xml:space="preserve">Trigger / Auto-stamp</t>
  </si>
  <si>
    <t xml:space="preserve">AFTER UPDATE</t>
  </si>
  <si>
    <t xml:space="preserve">Auto-stamps updated_at on project_master when not manually set</t>
  </si>
  <si>
    <t xml:space="preserve">T4</t>
  </si>
  <si>
    <t xml:space="preserve">trg_pss_updated_at</t>
  </si>
  <si>
    <t xml:space="preserve">Auto-stamps updated_at on project_stage_status</t>
  </si>
  <si>
    <t xml:space="preserve">T5</t>
  </si>
  <si>
    <t xml:space="preserve">trg_vrm_updated_at</t>
  </si>
  <si>
    <t xml:space="preserve">Auto-stamps updated_at on validation_rule_master</t>
  </si>
  <si>
    <t xml:space="preserve">── SECTION 8: INDEXES ──</t>
  </si>
  <si>
    <t xml:space="preserve">I1</t>
  </si>
  <si>
    <t xml:space="preserve">idx_vr_project_stage</t>
  </si>
  <si>
    <t xml:space="preserve">Index</t>
  </si>
  <si>
    <t xml:space="preserve">Composite</t>
  </si>
  <si>
    <t xml:space="preserve">validation_result(project_id, stage)</t>
  </si>
  <si>
    <t xml:space="preserve">I2</t>
  </si>
  <si>
    <t xml:space="preserve">idx_vr_run_id</t>
  </si>
  <si>
    <t xml:space="preserve">Single Col</t>
  </si>
  <si>
    <t xml:space="preserve">validation_result(run_id)</t>
  </si>
  <si>
    <t xml:space="preserve">I3</t>
  </si>
  <si>
    <t xml:space="preserve">idx_vr_rule_id</t>
  </si>
  <si>
    <t xml:space="preserve">validation_result(rule_id)</t>
  </si>
  <si>
    <t xml:space="preserve">I4</t>
  </si>
  <si>
    <t xml:space="preserve">idx_pss_project</t>
  </si>
  <si>
    <t xml:space="preserve">project_stage_status(project_id)</t>
  </si>
  <si>
    <t xml:space="preserve">I5</t>
  </si>
  <si>
    <t xml:space="preserve">idx_ael_project</t>
  </si>
  <si>
    <t xml:space="preserve">audit_event_log(project_id)</t>
  </si>
  <si>
    <t xml:space="preserve">I6</t>
  </si>
  <si>
    <t xml:space="preserve">idx_ael_event_type</t>
  </si>
  <si>
    <t xml:space="preserve">audit_event_log(event_type)</t>
  </si>
  <si>
    <t xml:space="preserve">I7</t>
  </si>
  <si>
    <t xml:space="preserve">idx_ael_occurred_at</t>
  </si>
  <si>
    <t xml:space="preserve">audit_event_log(occurred_at)</t>
  </si>
  <si>
    <t xml:space="preserve">I8</t>
  </si>
  <si>
    <t xml:space="preserve">idx_fd_module</t>
  </si>
  <si>
    <t xml:space="preserve">field_dictionary(module_id)</t>
  </si>
  <si>
    <t xml:space="preserve">I9</t>
  </si>
  <si>
    <t xml:space="preserve">idx_vrm_layer</t>
  </si>
  <si>
    <t xml:space="preserve">validation_rule_master(layer)</t>
  </si>
  <si>
    <t xml:space="preserve">I10</t>
  </si>
  <si>
    <t xml:space="preserve">idx_vrm_severity</t>
  </si>
  <si>
    <t xml:space="preserve">validation_rule_master(severity)</t>
  </si>
  <si>
    <t xml:space="preserve">BLOCK STATUS SUMMARY</t>
  </si>
  <si>
    <t xml:space="preserve">Total Items</t>
  </si>
  <si>
    <t xml:space="preserve">⚠️ Partial</t>
  </si>
  <si>
    <t xml:space="preserve">❌ Not Created</t>
  </si>
  <si>
    <t xml:space="preserve">🔁 In Progress</t>
  </si>
  <si>
    <t xml:space="preserve">🔒 Blocked</t>
  </si>
  <si>
    <t xml:space="preserve">Block Status</t>
  </si>
  <si>
    <t xml:space="preserve">Agent Sign-off</t>
  </si>
  <si>
    <t xml:space="preserve">🟢 GREEN</t>
  </si>
  <si>
    <t xml:space="preserve">STATUS LEGEND:  ✅ Created = confirmed in DB   ⚠️ Partial = schema exists but incomplete   ❌ Not Created = missing   🔁 In Progress = actively being built   🔒 Blocked = cannot proceed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</si>
</sst>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9"/>
      <color rgb="FF4A4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4A4A4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4A4A4A"/>
        <bgColor rgb="FF1F3864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D9E1F2"/>
        <bgColor rgb="FFF5F5F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2E5FA3"/>
      </left>
      <right/>
      <top style="thin">
        <color rgb="FF2E5FA3"/>
      </top>
      <bottom style="thin">
        <color rgb="FF2E5FA3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2E5FA3"/>
      </left>
      <right style="thin">
        <color rgb="FF2E5FA3"/>
      </right>
      <top style="thin">
        <color rgb="FF2E5FA3"/>
      </top>
      <bottom style="thin">
        <color rgb="FF2E5FA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CCFFFF"/>
      <rgbColor rgb="FF660066"/>
      <rgbColor rgb="FFFF8080"/>
      <rgbColor rgb="FF2E5FA3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28"/>
  </cols>
  <sheetData>
    <row r="1" customFormat="false" ht="7.5" hidden="false" customHeight="true" outlineLevel="0" collapsed="false"/>
    <row r="2" customFormat="false" ht="36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.75" hidden="false" customHeight="true" outlineLevel="0" collapsed="false"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</row>
    <row r="5" customFormat="false" ht="31.5" hidden="false" customHeight="tru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</row>
    <row r="6" customFormat="false" ht="21.75" hidden="false" customHeight="true" outlineLevel="0" collapsed="false">
      <c r="A6" s="5" t="s">
        <v>15</v>
      </c>
      <c r="B6" s="5"/>
      <c r="C6" s="5"/>
      <c r="D6" s="5"/>
      <c r="E6" s="5"/>
      <c r="F6" s="5"/>
      <c r="G6" s="5"/>
      <c r="H6" s="5"/>
    </row>
    <row r="7" customFormat="false" ht="33.75" hidden="false" customHeight="true" outlineLevel="0" collapsed="false">
      <c r="A7" s="6" t="n">
        <v>1</v>
      </c>
      <c r="B7" s="7" t="s">
        <v>16</v>
      </c>
      <c r="C7" s="6" t="s">
        <v>17</v>
      </c>
      <c r="D7" s="6" t="s">
        <v>18</v>
      </c>
      <c r="E7" s="6" t="s">
        <v>19</v>
      </c>
      <c r="F7" s="6" t="s">
        <v>20</v>
      </c>
      <c r="G7" s="7" t="s">
        <v>21</v>
      </c>
      <c r="H7" s="7" t="s">
        <v>22</v>
      </c>
    </row>
    <row r="8" customFormat="false" ht="33.75" hidden="false" customHeight="true" outlineLevel="0" collapsed="false">
      <c r="A8" s="8" t="n">
        <v>2</v>
      </c>
      <c r="B8" s="9" t="s">
        <v>23</v>
      </c>
      <c r="C8" s="8" t="s">
        <v>17</v>
      </c>
      <c r="D8" s="8" t="s">
        <v>18</v>
      </c>
      <c r="E8" s="8" t="s">
        <v>19</v>
      </c>
      <c r="F8" s="8" t="s">
        <v>20</v>
      </c>
      <c r="G8" s="9" t="s">
        <v>24</v>
      </c>
      <c r="H8" s="9" t="s">
        <v>22</v>
      </c>
    </row>
    <row r="9" customFormat="false" ht="33.75" hidden="false" customHeight="true" outlineLevel="0" collapsed="false">
      <c r="A9" s="6" t="n">
        <v>3</v>
      </c>
      <c r="B9" s="7" t="s">
        <v>25</v>
      </c>
      <c r="C9" s="6" t="s">
        <v>17</v>
      </c>
      <c r="D9" s="6" t="s">
        <v>18</v>
      </c>
      <c r="E9" s="6" t="s">
        <v>19</v>
      </c>
      <c r="F9" s="6" t="s">
        <v>26</v>
      </c>
      <c r="G9" s="7" t="s">
        <v>27</v>
      </c>
      <c r="H9" s="7" t="s">
        <v>22</v>
      </c>
    </row>
    <row r="10" customFormat="false" ht="21.75" hidden="false" customHeight="true" outlineLevel="0" collapsed="false">
      <c r="A10" s="5" t="s">
        <v>28</v>
      </c>
      <c r="B10" s="5"/>
      <c r="C10" s="5"/>
      <c r="D10" s="5"/>
      <c r="E10" s="5"/>
      <c r="F10" s="5"/>
      <c r="G10" s="5"/>
      <c r="H10" s="5"/>
    </row>
    <row r="11" customFormat="false" ht="33.75" hidden="false" customHeight="true" outlineLevel="0" collapsed="false">
      <c r="A11" s="8" t="n">
        <v>4</v>
      </c>
      <c r="B11" s="9" t="s">
        <v>29</v>
      </c>
      <c r="C11" s="8" t="s">
        <v>30</v>
      </c>
      <c r="D11" s="8" t="s">
        <v>18</v>
      </c>
      <c r="E11" s="8" t="s">
        <v>19</v>
      </c>
      <c r="F11" s="8" t="s">
        <v>31</v>
      </c>
      <c r="G11" s="9" t="s">
        <v>32</v>
      </c>
      <c r="H11" s="9" t="s">
        <v>22</v>
      </c>
    </row>
    <row r="12" customFormat="false" ht="21.75" hidden="false" customHeight="true" outlineLevel="0" collapsed="false">
      <c r="A12" s="5" t="s">
        <v>33</v>
      </c>
      <c r="B12" s="5"/>
      <c r="C12" s="5"/>
      <c r="D12" s="5"/>
      <c r="E12" s="5"/>
      <c r="F12" s="5"/>
      <c r="G12" s="5"/>
      <c r="H12" s="5"/>
    </row>
    <row r="13" customFormat="false" ht="33.75" hidden="false" customHeight="true" outlineLevel="0" collapsed="false">
      <c r="A13" s="6" t="n">
        <v>5</v>
      </c>
      <c r="B13" s="7" t="s">
        <v>34</v>
      </c>
      <c r="C13" s="6" t="s">
        <v>35</v>
      </c>
      <c r="D13" s="6" t="s">
        <v>18</v>
      </c>
      <c r="E13" s="6" t="s">
        <v>19</v>
      </c>
      <c r="F13" s="6" t="s">
        <v>36</v>
      </c>
      <c r="G13" s="7" t="s">
        <v>37</v>
      </c>
      <c r="H13" s="7" t="s">
        <v>22</v>
      </c>
    </row>
    <row r="14" customFormat="false" ht="33.75" hidden="false" customHeight="true" outlineLevel="0" collapsed="false">
      <c r="A14" s="8" t="n">
        <v>6</v>
      </c>
      <c r="B14" s="9" t="s">
        <v>38</v>
      </c>
      <c r="C14" s="8" t="s">
        <v>35</v>
      </c>
      <c r="D14" s="8" t="s">
        <v>18</v>
      </c>
      <c r="E14" s="8" t="s">
        <v>19</v>
      </c>
      <c r="F14" s="8" t="s">
        <v>36</v>
      </c>
      <c r="G14" s="9" t="s">
        <v>39</v>
      </c>
      <c r="H14" s="9" t="s">
        <v>22</v>
      </c>
    </row>
    <row r="15" customFormat="false" ht="21.75" hidden="false" customHeight="true" outlineLevel="0" collapsed="false">
      <c r="A15" s="5" t="s">
        <v>40</v>
      </c>
      <c r="B15" s="5"/>
      <c r="C15" s="5"/>
      <c r="D15" s="5"/>
      <c r="E15" s="5"/>
      <c r="F15" s="5"/>
      <c r="G15" s="5"/>
      <c r="H15" s="5"/>
    </row>
    <row r="16" customFormat="false" ht="33.75" hidden="false" customHeight="true" outlineLevel="0" collapsed="false">
      <c r="A16" s="6" t="n">
        <v>7</v>
      </c>
      <c r="B16" s="7" t="s">
        <v>41</v>
      </c>
      <c r="C16" s="6" t="s">
        <v>42</v>
      </c>
      <c r="D16" s="6" t="s">
        <v>18</v>
      </c>
      <c r="E16" s="6" t="s">
        <v>19</v>
      </c>
      <c r="F16" s="6" t="s">
        <v>43</v>
      </c>
      <c r="G16" s="7" t="s">
        <v>44</v>
      </c>
      <c r="H16" s="7" t="s">
        <v>22</v>
      </c>
    </row>
    <row r="17" customFormat="false" ht="33.75" hidden="false" customHeight="true" outlineLevel="0" collapsed="false">
      <c r="A17" s="8" t="n">
        <v>8</v>
      </c>
      <c r="B17" s="9" t="s">
        <v>45</v>
      </c>
      <c r="C17" s="8" t="s">
        <v>46</v>
      </c>
      <c r="D17" s="8" t="s">
        <v>18</v>
      </c>
      <c r="E17" s="8" t="s">
        <v>19</v>
      </c>
      <c r="F17" s="8" t="s">
        <v>47</v>
      </c>
      <c r="G17" s="9" t="s">
        <v>48</v>
      </c>
      <c r="H17" s="9" t="s">
        <v>22</v>
      </c>
    </row>
    <row r="18" customFormat="false" ht="21.75" hidden="false" customHeight="true" outlineLevel="0" collapsed="false">
      <c r="A18" s="5" t="s">
        <v>49</v>
      </c>
      <c r="B18" s="5"/>
      <c r="C18" s="5"/>
      <c r="D18" s="5"/>
      <c r="E18" s="5"/>
      <c r="F18" s="5"/>
      <c r="G18" s="5"/>
      <c r="H18" s="5"/>
    </row>
    <row r="19" customFormat="false" ht="33.75" hidden="false" customHeight="true" outlineLevel="0" collapsed="false">
      <c r="A19" s="6" t="n">
        <v>9</v>
      </c>
      <c r="B19" s="7" t="s">
        <v>50</v>
      </c>
      <c r="C19" s="6" t="s">
        <v>51</v>
      </c>
      <c r="D19" s="6" t="s">
        <v>18</v>
      </c>
      <c r="E19" s="6" t="s">
        <v>19</v>
      </c>
      <c r="F19" s="6" t="s">
        <v>52</v>
      </c>
      <c r="G19" s="7" t="s">
        <v>53</v>
      </c>
      <c r="H19" s="7" t="s">
        <v>22</v>
      </c>
    </row>
    <row r="20" customFormat="false" ht="21.75" hidden="false" customHeight="true" outlineLevel="0" collapsed="false">
      <c r="A20" s="5" t="s">
        <v>54</v>
      </c>
      <c r="B20" s="5"/>
      <c r="C20" s="5"/>
      <c r="D20" s="5"/>
      <c r="E20" s="5"/>
      <c r="F20" s="5"/>
      <c r="G20" s="5"/>
      <c r="H20" s="5"/>
    </row>
    <row r="21" customFormat="false" ht="33.75" hidden="false" customHeight="true" outlineLevel="0" collapsed="false">
      <c r="A21" s="8" t="s">
        <v>55</v>
      </c>
      <c r="B21" s="9" t="s">
        <v>56</v>
      </c>
      <c r="C21" s="8" t="s">
        <v>57</v>
      </c>
      <c r="D21" s="8" t="s">
        <v>18</v>
      </c>
      <c r="E21" s="8" t="s">
        <v>58</v>
      </c>
      <c r="F21" s="8" t="s">
        <v>59</v>
      </c>
      <c r="G21" s="9" t="s">
        <v>60</v>
      </c>
      <c r="H21" s="9" t="s">
        <v>22</v>
      </c>
    </row>
    <row r="22" customFormat="false" ht="33.75" hidden="false" customHeight="true" outlineLevel="0" collapsed="false">
      <c r="A22" s="6" t="s">
        <v>61</v>
      </c>
      <c r="B22" s="7" t="s">
        <v>62</v>
      </c>
      <c r="C22" s="6" t="s">
        <v>57</v>
      </c>
      <c r="D22" s="6" t="s">
        <v>18</v>
      </c>
      <c r="E22" s="6" t="s">
        <v>58</v>
      </c>
      <c r="F22" s="6" t="s">
        <v>63</v>
      </c>
      <c r="G22" s="7" t="s">
        <v>64</v>
      </c>
      <c r="H22" s="7" t="s">
        <v>22</v>
      </c>
    </row>
    <row r="23" customFormat="false" ht="33.75" hidden="false" customHeight="true" outlineLevel="0" collapsed="false">
      <c r="A23" s="8" t="s">
        <v>65</v>
      </c>
      <c r="B23" s="9" t="s">
        <v>66</v>
      </c>
      <c r="C23" s="8" t="s">
        <v>57</v>
      </c>
      <c r="D23" s="8" t="s">
        <v>18</v>
      </c>
      <c r="E23" s="8" t="s">
        <v>58</v>
      </c>
      <c r="F23" s="8" t="s">
        <v>59</v>
      </c>
      <c r="G23" s="9" t="s">
        <v>67</v>
      </c>
      <c r="H23" s="9" t="s">
        <v>22</v>
      </c>
    </row>
    <row r="24" customFormat="false" ht="33.75" hidden="false" customHeight="true" outlineLevel="0" collapsed="false">
      <c r="A24" s="6" t="s">
        <v>68</v>
      </c>
      <c r="B24" s="7" t="s">
        <v>69</v>
      </c>
      <c r="C24" s="6" t="s">
        <v>57</v>
      </c>
      <c r="D24" s="6" t="s">
        <v>18</v>
      </c>
      <c r="E24" s="6" t="s">
        <v>58</v>
      </c>
      <c r="F24" s="6" t="s">
        <v>59</v>
      </c>
      <c r="G24" s="7" t="s">
        <v>70</v>
      </c>
      <c r="H24" s="7" t="s">
        <v>22</v>
      </c>
    </row>
    <row r="25" customFormat="false" ht="33.75" hidden="false" customHeight="true" outlineLevel="0" collapsed="false">
      <c r="A25" s="8" t="s">
        <v>71</v>
      </c>
      <c r="B25" s="9" t="s">
        <v>72</v>
      </c>
      <c r="C25" s="8" t="s">
        <v>57</v>
      </c>
      <c r="D25" s="8" t="s">
        <v>18</v>
      </c>
      <c r="E25" s="8" t="s">
        <v>58</v>
      </c>
      <c r="F25" s="8" t="s">
        <v>59</v>
      </c>
      <c r="G25" s="9" t="s">
        <v>73</v>
      </c>
      <c r="H25" s="9" t="s">
        <v>22</v>
      </c>
    </row>
    <row r="26" customFormat="false" ht="33.75" hidden="false" customHeight="true" outlineLevel="0" collapsed="false">
      <c r="A26" s="6" t="s">
        <v>74</v>
      </c>
      <c r="B26" s="7" t="s">
        <v>75</v>
      </c>
      <c r="C26" s="6" t="s">
        <v>57</v>
      </c>
      <c r="D26" s="6" t="s">
        <v>18</v>
      </c>
      <c r="E26" s="6" t="s">
        <v>58</v>
      </c>
      <c r="F26" s="6" t="s">
        <v>59</v>
      </c>
      <c r="G26" s="7" t="s">
        <v>76</v>
      </c>
      <c r="H26" s="7" t="s">
        <v>22</v>
      </c>
    </row>
    <row r="27" customFormat="false" ht="33.75" hidden="false" customHeight="true" outlineLevel="0" collapsed="false">
      <c r="A27" s="8" t="s">
        <v>77</v>
      </c>
      <c r="B27" s="9" t="s">
        <v>78</v>
      </c>
      <c r="C27" s="8" t="s">
        <v>57</v>
      </c>
      <c r="D27" s="8" t="s">
        <v>18</v>
      </c>
      <c r="E27" s="8" t="s">
        <v>58</v>
      </c>
      <c r="F27" s="8" t="s">
        <v>79</v>
      </c>
      <c r="G27" s="9" t="s">
        <v>80</v>
      </c>
      <c r="H27" s="9" t="s">
        <v>22</v>
      </c>
    </row>
    <row r="28" customFormat="false" ht="33.75" hidden="false" customHeight="true" outlineLevel="0" collapsed="false">
      <c r="A28" s="6" t="s">
        <v>81</v>
      </c>
      <c r="B28" s="7" t="s">
        <v>82</v>
      </c>
      <c r="C28" s="6" t="s">
        <v>57</v>
      </c>
      <c r="D28" s="6" t="s">
        <v>18</v>
      </c>
      <c r="E28" s="6" t="s">
        <v>58</v>
      </c>
      <c r="F28" s="6" t="s">
        <v>79</v>
      </c>
      <c r="G28" s="7" t="s">
        <v>83</v>
      </c>
      <c r="H28" s="7" t="s">
        <v>22</v>
      </c>
    </row>
    <row r="29" customFormat="false" ht="21.75" hidden="false" customHeight="true" outlineLevel="0" collapsed="false">
      <c r="A29" s="5" t="s">
        <v>84</v>
      </c>
      <c r="B29" s="5"/>
      <c r="C29" s="5"/>
      <c r="D29" s="5"/>
      <c r="E29" s="5"/>
      <c r="F29" s="5"/>
      <c r="G29" s="5"/>
      <c r="H29" s="5"/>
    </row>
    <row r="30" customFormat="false" ht="33.75" hidden="false" customHeight="true" outlineLevel="0" collapsed="false">
      <c r="A30" s="8" t="s">
        <v>85</v>
      </c>
      <c r="B30" s="9" t="s">
        <v>86</v>
      </c>
      <c r="C30" s="8" t="s">
        <v>87</v>
      </c>
      <c r="D30" s="8" t="s">
        <v>18</v>
      </c>
      <c r="E30" s="8" t="s">
        <v>58</v>
      </c>
      <c r="F30" s="8" t="s">
        <v>88</v>
      </c>
      <c r="G30" s="9" t="s">
        <v>89</v>
      </c>
      <c r="H30" s="9" t="s">
        <v>22</v>
      </c>
    </row>
    <row r="31" customFormat="false" ht="33.75" hidden="false" customHeight="true" outlineLevel="0" collapsed="false">
      <c r="A31" s="6" t="s">
        <v>90</v>
      </c>
      <c r="B31" s="7" t="s">
        <v>91</v>
      </c>
      <c r="C31" s="6" t="s">
        <v>87</v>
      </c>
      <c r="D31" s="6" t="s">
        <v>18</v>
      </c>
      <c r="E31" s="6" t="s">
        <v>58</v>
      </c>
      <c r="F31" s="6" t="s">
        <v>92</v>
      </c>
      <c r="G31" s="7" t="s">
        <v>93</v>
      </c>
      <c r="H31" s="7" t="s">
        <v>22</v>
      </c>
    </row>
    <row r="32" customFormat="false" ht="33.75" hidden="false" customHeight="true" outlineLevel="0" collapsed="false">
      <c r="A32" s="8" t="s">
        <v>94</v>
      </c>
      <c r="B32" s="9" t="s">
        <v>95</v>
      </c>
      <c r="C32" s="8" t="s">
        <v>96</v>
      </c>
      <c r="D32" s="8" t="s">
        <v>18</v>
      </c>
      <c r="E32" s="8" t="s">
        <v>58</v>
      </c>
      <c r="F32" s="8" t="s">
        <v>97</v>
      </c>
      <c r="G32" s="9" t="s">
        <v>98</v>
      </c>
      <c r="H32" s="9" t="s">
        <v>22</v>
      </c>
    </row>
    <row r="33" customFormat="false" ht="33.75" hidden="false" customHeight="true" outlineLevel="0" collapsed="false">
      <c r="A33" s="6" t="s">
        <v>99</v>
      </c>
      <c r="B33" s="7" t="s">
        <v>100</v>
      </c>
      <c r="C33" s="6" t="s">
        <v>96</v>
      </c>
      <c r="D33" s="6" t="s">
        <v>18</v>
      </c>
      <c r="E33" s="6" t="s">
        <v>58</v>
      </c>
      <c r="F33" s="6" t="s">
        <v>97</v>
      </c>
      <c r="G33" s="7" t="s">
        <v>101</v>
      </c>
      <c r="H33" s="7" t="s">
        <v>22</v>
      </c>
    </row>
    <row r="34" customFormat="false" ht="33.75" hidden="false" customHeight="true" outlineLevel="0" collapsed="false">
      <c r="A34" s="8" t="s">
        <v>102</v>
      </c>
      <c r="B34" s="9" t="s">
        <v>103</v>
      </c>
      <c r="C34" s="8" t="s">
        <v>96</v>
      </c>
      <c r="D34" s="8" t="s">
        <v>18</v>
      </c>
      <c r="E34" s="8" t="s">
        <v>58</v>
      </c>
      <c r="F34" s="8" t="s">
        <v>97</v>
      </c>
      <c r="G34" s="9" t="s">
        <v>104</v>
      </c>
      <c r="H34" s="9" t="s">
        <v>22</v>
      </c>
    </row>
    <row r="35" customFormat="false" ht="21.75" hidden="false" customHeight="true" outlineLevel="0" collapsed="false">
      <c r="A35" s="5" t="s">
        <v>105</v>
      </c>
      <c r="B35" s="5"/>
      <c r="C35" s="5"/>
      <c r="D35" s="5"/>
      <c r="E35" s="5"/>
      <c r="F35" s="5"/>
      <c r="G35" s="5"/>
      <c r="H35" s="5"/>
    </row>
    <row r="36" customFormat="false" ht="33.75" hidden="false" customHeight="true" outlineLevel="0" collapsed="false">
      <c r="A36" s="6" t="s">
        <v>106</v>
      </c>
      <c r="B36" s="7" t="s">
        <v>107</v>
      </c>
      <c r="C36" s="6" t="s">
        <v>108</v>
      </c>
      <c r="D36" s="6" t="s">
        <v>18</v>
      </c>
      <c r="E36" s="6" t="s">
        <v>58</v>
      </c>
      <c r="F36" s="6" t="s">
        <v>109</v>
      </c>
      <c r="G36" s="7" t="s">
        <v>110</v>
      </c>
      <c r="H36" s="7" t="s">
        <v>22</v>
      </c>
    </row>
    <row r="37" customFormat="false" ht="33.75" hidden="false" customHeight="true" outlineLevel="0" collapsed="false">
      <c r="A37" s="8" t="s">
        <v>111</v>
      </c>
      <c r="B37" s="9" t="s">
        <v>112</v>
      </c>
      <c r="C37" s="8" t="s">
        <v>108</v>
      </c>
      <c r="D37" s="8" t="s">
        <v>18</v>
      </c>
      <c r="E37" s="8" t="s">
        <v>58</v>
      </c>
      <c r="F37" s="8" t="s">
        <v>113</v>
      </c>
      <c r="G37" s="9" t="s">
        <v>114</v>
      </c>
      <c r="H37" s="9" t="s">
        <v>22</v>
      </c>
    </row>
    <row r="38" customFormat="false" ht="33.75" hidden="false" customHeight="true" outlineLevel="0" collapsed="false">
      <c r="A38" s="6" t="s">
        <v>115</v>
      </c>
      <c r="B38" s="7" t="s">
        <v>116</v>
      </c>
      <c r="C38" s="6" t="s">
        <v>108</v>
      </c>
      <c r="D38" s="6" t="s">
        <v>18</v>
      </c>
      <c r="E38" s="6" t="s">
        <v>58</v>
      </c>
      <c r="F38" s="6" t="s">
        <v>113</v>
      </c>
      <c r="G38" s="7" t="s">
        <v>117</v>
      </c>
      <c r="H38" s="7" t="s">
        <v>22</v>
      </c>
    </row>
    <row r="39" customFormat="false" ht="33.75" hidden="false" customHeight="true" outlineLevel="0" collapsed="false">
      <c r="A39" s="8" t="s">
        <v>118</v>
      </c>
      <c r="B39" s="9" t="s">
        <v>119</v>
      </c>
      <c r="C39" s="8" t="s">
        <v>108</v>
      </c>
      <c r="D39" s="8" t="s">
        <v>18</v>
      </c>
      <c r="E39" s="8" t="s">
        <v>58</v>
      </c>
      <c r="F39" s="8" t="s">
        <v>113</v>
      </c>
      <c r="G39" s="9" t="s">
        <v>120</v>
      </c>
      <c r="H39" s="9" t="s">
        <v>22</v>
      </c>
    </row>
    <row r="40" customFormat="false" ht="33.75" hidden="false" customHeight="true" outlineLevel="0" collapsed="false">
      <c r="A40" s="6" t="s">
        <v>121</v>
      </c>
      <c r="B40" s="7" t="s">
        <v>122</v>
      </c>
      <c r="C40" s="6" t="s">
        <v>108</v>
      </c>
      <c r="D40" s="6" t="s">
        <v>18</v>
      </c>
      <c r="E40" s="6" t="s">
        <v>58</v>
      </c>
      <c r="F40" s="6" t="s">
        <v>113</v>
      </c>
      <c r="G40" s="7" t="s">
        <v>123</v>
      </c>
      <c r="H40" s="7" t="s">
        <v>22</v>
      </c>
    </row>
    <row r="41" customFormat="false" ht="33.75" hidden="false" customHeight="true" outlineLevel="0" collapsed="false">
      <c r="A41" s="8" t="s">
        <v>124</v>
      </c>
      <c r="B41" s="9" t="s">
        <v>125</v>
      </c>
      <c r="C41" s="8" t="s">
        <v>108</v>
      </c>
      <c r="D41" s="8" t="s">
        <v>18</v>
      </c>
      <c r="E41" s="8" t="s">
        <v>58</v>
      </c>
      <c r="F41" s="8" t="s">
        <v>113</v>
      </c>
      <c r="G41" s="9" t="s">
        <v>126</v>
      </c>
      <c r="H41" s="9" t="s">
        <v>22</v>
      </c>
    </row>
    <row r="42" customFormat="false" ht="33.75" hidden="false" customHeight="true" outlineLevel="0" collapsed="false">
      <c r="A42" s="6" t="s">
        <v>127</v>
      </c>
      <c r="B42" s="7" t="s">
        <v>128</v>
      </c>
      <c r="C42" s="6" t="s">
        <v>108</v>
      </c>
      <c r="D42" s="6" t="s">
        <v>18</v>
      </c>
      <c r="E42" s="6" t="s">
        <v>58</v>
      </c>
      <c r="F42" s="6" t="s">
        <v>113</v>
      </c>
      <c r="G42" s="7" t="s">
        <v>129</v>
      </c>
      <c r="H42" s="7" t="s">
        <v>22</v>
      </c>
    </row>
    <row r="43" customFormat="false" ht="33.75" hidden="false" customHeight="true" outlineLevel="0" collapsed="false">
      <c r="A43" s="8" t="s">
        <v>130</v>
      </c>
      <c r="B43" s="9" t="s">
        <v>131</v>
      </c>
      <c r="C43" s="8" t="s">
        <v>108</v>
      </c>
      <c r="D43" s="8" t="s">
        <v>18</v>
      </c>
      <c r="E43" s="8" t="s">
        <v>58</v>
      </c>
      <c r="F43" s="8" t="s">
        <v>113</v>
      </c>
      <c r="G43" s="9" t="s">
        <v>132</v>
      </c>
      <c r="H43" s="9" t="s">
        <v>22</v>
      </c>
    </row>
    <row r="44" customFormat="false" ht="33.75" hidden="false" customHeight="true" outlineLevel="0" collapsed="false">
      <c r="A44" s="6" t="s">
        <v>133</v>
      </c>
      <c r="B44" s="7" t="s">
        <v>134</v>
      </c>
      <c r="C44" s="6" t="s">
        <v>108</v>
      </c>
      <c r="D44" s="6" t="s">
        <v>18</v>
      </c>
      <c r="E44" s="6" t="s">
        <v>58</v>
      </c>
      <c r="F44" s="6" t="s">
        <v>113</v>
      </c>
      <c r="G44" s="7" t="s">
        <v>135</v>
      </c>
      <c r="H44" s="7" t="s">
        <v>22</v>
      </c>
    </row>
    <row r="45" customFormat="false" ht="33.75" hidden="false" customHeight="true" outlineLevel="0" collapsed="false">
      <c r="A45" s="8" t="s">
        <v>136</v>
      </c>
      <c r="B45" s="9" t="s">
        <v>137</v>
      </c>
      <c r="C45" s="8" t="s">
        <v>108</v>
      </c>
      <c r="D45" s="8" t="s">
        <v>18</v>
      </c>
      <c r="E45" s="8" t="s">
        <v>58</v>
      </c>
      <c r="F45" s="8" t="s">
        <v>113</v>
      </c>
      <c r="G45" s="9" t="s">
        <v>138</v>
      </c>
      <c r="H45" s="9" t="s">
        <v>22</v>
      </c>
    </row>
    <row r="47" customFormat="false" ht="9.75" hidden="false" customHeight="true" outlineLevel="0" collapsed="false"/>
    <row r="48" customFormat="false" ht="15" hidden="false" customHeight="false" outlineLevel="0" collapsed="false">
      <c r="A48" s="10" t="s">
        <v>139</v>
      </c>
      <c r="B48" s="10"/>
      <c r="C48" s="10"/>
      <c r="D48" s="10"/>
      <c r="E48" s="10"/>
      <c r="F48" s="10"/>
      <c r="G48" s="10"/>
      <c r="H48" s="10"/>
    </row>
    <row r="49" customFormat="false" ht="27.75" hidden="false" customHeight="true" outlineLevel="0" collapsed="false">
      <c r="A49" s="11" t="s">
        <v>140</v>
      </c>
      <c r="B49" s="11" t="s">
        <v>18</v>
      </c>
      <c r="C49" s="11" t="s">
        <v>141</v>
      </c>
      <c r="D49" s="11" t="s">
        <v>142</v>
      </c>
      <c r="E49" s="11" t="s">
        <v>143</v>
      </c>
      <c r="F49" s="11" t="s">
        <v>144</v>
      </c>
      <c r="G49" s="11" t="s">
        <v>145</v>
      </c>
      <c r="H49" s="11" t="s">
        <v>146</v>
      </c>
    </row>
    <row r="50" customFormat="false" ht="27.75" hidden="false" customHeight="true" outlineLevel="0" collapsed="false">
      <c r="A50" s="12" t="n">
        <v>32</v>
      </c>
      <c r="B50" s="12" t="n">
        <f aca="false">COUNTIF(D6:D45,"✅ Created")</f>
        <v>32</v>
      </c>
      <c r="C50" s="12" t="n">
        <f aca="false">COUNTIF(D6:D45,"⚠️ Partial")</f>
        <v>0</v>
      </c>
      <c r="D50" s="12" t="n">
        <f aca="false">COUNTIF(D6:D45,"❌ Not Created")</f>
        <v>0</v>
      </c>
      <c r="E50" s="12" t="n">
        <f aca="false">COUNTIF(D6:D45,"🔁 In Progress")</f>
        <v>0</v>
      </c>
      <c r="F50" s="12" t="n">
        <f aca="false">COUNTIF(D6:D45,"🔒 Blocked")</f>
        <v>0</v>
      </c>
      <c r="G50" s="12" t="s">
        <v>147</v>
      </c>
      <c r="H50" s="12" t="s">
        <v>3</v>
      </c>
    </row>
    <row r="52" customFormat="false" ht="25.5" hidden="false" customHeight="true" outlineLevel="0" collapsed="false">
      <c r="A52" s="13" t="s">
        <v>148</v>
      </c>
      <c r="B52" s="13"/>
      <c r="C52" s="13"/>
      <c r="D52" s="13"/>
      <c r="E52" s="13"/>
      <c r="F52" s="13"/>
      <c r="G52" s="13"/>
      <c r="H52" s="13"/>
    </row>
  </sheetData>
  <mergeCells count="12">
    <mergeCell ref="A2:H2"/>
    <mergeCell ref="A3:H3"/>
    <mergeCell ref="A6:H6"/>
    <mergeCell ref="A10:H10"/>
    <mergeCell ref="A12:H12"/>
    <mergeCell ref="A15:H15"/>
    <mergeCell ref="A18:H18"/>
    <mergeCell ref="A20:H20"/>
    <mergeCell ref="A29:H29"/>
    <mergeCell ref="A35:H35"/>
    <mergeCell ref="A48:H48"/>
    <mergeCell ref="A52:H52"/>
  </mergeCells>
  <dataValidations count="2">
    <dataValidation allowBlank="true" errorStyle="stop" operator="between" showDropDown="false" showErrorMessage="false" showInputMessage="false" sqref="D7:D9 D11 D13:D14 D16:D17 D19 D21:D28 D30:D34 D36:D45" type="list">
      <formula1>"✅ Created,⚠️ Partial,❌ Not Created,🔁 In Progress,🔒 Blocked,N/A"</formula1>
      <formula2>0</formula2>
    </dataValidation>
    <dataValidation allowBlank="true" errorStyle="stop" operator="between" showDropDown="false" showErrorMessage="false" showInputMessage="false" sqref="E7:E9 E11 E13:E14 E16:E17 E19 E21:E28 E30:E34 E36:E45" type="list">
      <formula1>"✅ Verified,⚠️ Needs Review,❌ Failed,N/A"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2026-04-27T06:39:44Z</dcterms:created>
  <dc:creator>openpyxl</dc:creator>
  <dc:description/>
  <dc:language>en-US</dc:language>
  <cp:lastModifiedBy/>
  <dcterms:modified xsi:type="dcterms:W3CDTF">2026-04-27T06:39:44Z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