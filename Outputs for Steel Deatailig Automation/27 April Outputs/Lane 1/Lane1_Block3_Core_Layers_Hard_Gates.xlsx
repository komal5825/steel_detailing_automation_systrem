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yers Completed" sheetId="1" state="visible" r:id="rId3"/>
    <sheet name="Hard-Gate Status" sheetId="2" state="visible" r:id="rId4"/>
    <sheet name="Prerequisite Logic Status" sheetId="3" state="visible" r:id="rId5"/>
    <sheet name="Blockers &amp; Next Block Readines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<sst xmlns="http://schemas.openxmlformats.org/spreadsheetml/2006/main" count="289" uniqueCount="172">
  <si>
    <t xml:space="preserve">LANE 1 — BLOCK 3 │ Core Layers and Hard Gates</t>
  </si>
  <si>
    <t xml:space="preserve">Steel Detailing Desktop System  ·  Validation Layer Implementation  ·  Lane 1 Block 3</t>
  </si>
  <si>
    <t xml:space="preserve">Prepared by:</t>
  </si>
  <si>
    <t xml:space="preserve">Lane 1 Block 3 Agent</t>
  </si>
  <si>
    <t xml:space="preserve">Date:</t>
  </si>
  <si>
    <t xml:space="preserve">2026-04-27</t>
  </si>
  <si>
    <t xml:space="preserve">v1.0</t>
  </si>
  <si>
    <t xml:space="preserve">#</t>
  </si>
  <si>
    <t xml:space="preserve">Layer Module</t>
  </si>
  <si>
    <t xml:space="preserve">Scope</t>
  </si>
  <si>
    <t xml:space="preserve">Build Status</t>
  </si>
  <si>
    <t xml:space="preserve">Test Status</t>
  </si>
  <si>
    <t xml:space="preserve">Entry Point</t>
  </si>
  <si>
    <t xml:space="preserve">Notes / Detail</t>
  </si>
  <si>
    <t xml:space="preserve">Owner</t>
  </si>
  <si>
    <t xml:space="preserve">── SECTION 1: CORE VALIDATION LAYERS (L01–L05) ──</t>
  </si>
  <si>
    <t xml:space="preserve">layer_01_completeness</t>
  </si>
  <si>
    <t xml:space="preserve">Completeness</t>
  </si>
  <si>
    <t xml:space="preserve">✅ Complete</t>
  </si>
  <si>
    <t xml:space="preserve">✅ Tested</t>
  </si>
  <si>
    <t xml:space="preserve">evaluate(rule, field_value)</t>
  </si>
  <si>
    <t xml:space="preserve">Checks required fields are non-null and non-empty. Returns FAIL if field is None or whitespace-only. Used as first-pass gate across all stages.</t>
  </si>
  <si>
    <t xml:space="preserve">Lane 1 Agent</t>
  </si>
  <si>
    <t xml:space="preserve">layer_02_datatype</t>
  </si>
  <si>
    <t xml:space="preserve">Data Type</t>
  </si>
  <si>
    <t xml:space="preserve">evaluate(rule, field_value, declared_type)</t>
  </si>
  <si>
    <t xml:space="preserve">Validates against declared_type: TEXT/INTEGER/REAL/BOOLEAN/DATE. Uses regex for DATE (ISO 8601). Defaults to TEXT if type unknown.</t>
  </si>
  <si>
    <t xml:space="preserve">layer_03_unit</t>
  </si>
  <si>
    <t xml:space="preserve">Unit</t>
  </si>
  <si>
    <t xml:space="preserve">evaluate(rule, field_value, unit_type)</t>
  </si>
  <si>
    <t xml:space="preserve">Validates unit labels against known_units dict keyed by unit_type (length/mass/force/angle/generic). Returns FAIL if unit not in allowed set.</t>
  </si>
  <si>
    <t xml:space="preserve">layer_04_enumeration</t>
  </si>
  <si>
    <t xml:space="preserve">Enumeration</t>
  </si>
  <si>
    <t xml:space="preserve">evaluate(rule, field_value, allowed_values_json)</t>
  </si>
  <si>
    <t xml:space="preserve">Parses allowed_values JSON array from field_dictionary. Returns FAIL if value not in set. Returns SKIP if no enum constraint defined.</t>
  </si>
  <si>
    <t xml:space="preserve">layer_05_format</t>
  </si>
  <si>
    <t xml:space="preserve">Format / Regex</t>
  </si>
  <si>
    <t xml:space="preserve">Uses rule_expression column as regex pattern (fullmatch). Returns SKIP if no pattern defined. Handles invalid regex gracefully.</t>
  </si>
  <si>
    <t xml:space="preserve">── SECTION 2: STAGE GATE LAYER (L10) ──</t>
  </si>
  <si>
    <t xml:space="preserve">layer_10_stage_gate</t>
  </si>
  <si>
    <t xml:space="preserve">Stage Gate</t>
  </si>
  <si>
    <t xml:space="preserve">evaluate_gate(stage, blocker_registry, stage_statuses)</t>
  </si>
  <si>
    <t xml:space="preserve">Combines prerequisite check + blocker check into final gate status. HARD GATE enforced for S4 and S5 — any BLOCKER/RELEASE_BLOCKER → unconditional BLOCKED.</t>
  </si>
  <si>
    <t xml:space="preserve">P</t>
  </si>
  <si>
    <t xml:space="preserve">PREREQUISITE_MAP</t>
  </si>
  <si>
    <t xml:space="preserve">Gate Config</t>
  </si>
  <si>
    <t xml:space="preserve">check_prerequisites(stage, stage_statuses)</t>
  </si>
  <si>
    <t xml:space="preserve">Maps S2→[S1], S3→[S1,S2], S4→[S1-S3], S5→[S1-S4], S6→[S5], S7→[S5,S6], S8→[S5-S7], S9→[S5-S8], S10→[S5-S9]. BLOCKED if any prerequisite not PASSED.</t>
  </si>
  <si>
    <t xml:space="preserve">BLOCK 3 STATUS SUMMARY</t>
  </si>
  <si>
    <t xml:space="preserve">Total</t>
  </si>
  <si>
    <t xml:space="preserve">⚠️ Partial</t>
  </si>
  <si>
    <t xml:space="preserve">❌ Not Built</t>
  </si>
  <si>
    <t xml:space="preserve">🔁 In Progress</t>
  </si>
  <si>
    <t xml:space="preserve">🔒 Blocked</t>
  </si>
  <si>
    <t xml:space="preserve">Block Status</t>
  </si>
  <si>
    <t xml:space="preserve">Sign-off</t>
  </si>
  <si>
    <t xml:space="preserve">🟢 GREEN</t>
  </si>
  <si>
    <t xml:space="preserve">LANE 1 — BLOCK 3 │ S4 &amp; S5 Hard-Gate Status</t>
  </si>
  <si>
    <t xml:space="preserve">Confirms hard-gate blocking is intact for release-critical stages</t>
  </si>
  <si>
    <t xml:space="preserve">Stage</t>
  </si>
  <si>
    <t xml:space="preserve">Gate Type</t>
  </si>
  <si>
    <t xml:space="preserve">BLOCKER →</t>
  </si>
  <si>
    <t xml:space="preserve">RELEASE_BLOCKER →</t>
  </si>
  <si>
    <t xml:space="preserve">Gate Result</t>
  </si>
  <si>
    <t xml:space="preserve">Behavior / Rule</t>
  </si>
  <si>
    <t xml:space="preserve">Verified</t>
  </si>
  <si>
    <t xml:space="preserve">── S4 HARD GATE ──</t>
  </si>
  <si>
    <t xml:space="preserve">S4</t>
  </si>
  <si>
    <t xml:space="preserve">HARD GATE</t>
  </si>
  <si>
    <t xml:space="preserve">BLOCKED</t>
  </si>
  <si>
    <t xml:space="preserve">Any BLOCKER or RELEASE_BLOCKER fail unconditionally locks S4. Cannot be overridden at engine level. Prerequisite: S1+S2+S3 all PASSED.</t>
  </si>
  <si>
    <t xml:space="preserve">✅ Verified</t>
  </si>
  <si>
    <t xml:space="preserve">HARD GATE — PASS condition</t>
  </si>
  <si>
    <t xml:space="preserve">0 fails</t>
  </si>
  <si>
    <t xml:space="preserve">PASSED</t>
  </si>
  <si>
    <t xml:space="preserve">gate_status=PASSED only when zero BLOCKER/RELEASE_BLOCKER fails AND all prerequisites PASSED. Errors/Warnings allowed.</t>
  </si>
  <si>
    <t xml:space="preserve">HARD GATE — prereq fail</t>
  </si>
  <si>
    <t xml:space="preserve">N/A</t>
  </si>
  <si>
    <t xml:space="preserve">If S1/S2/S3 not PASSED → BLOCKED with message listing missing stages. Evaluated first before rule-level checks.</t>
  </si>
  <si>
    <t xml:space="preserve">── S5 HARD GATE ──</t>
  </si>
  <si>
    <t xml:space="preserve">S5</t>
  </si>
  <si>
    <t xml:space="preserve">Same hard-gate enforcement as S4. S5 additionally requires S4=PASSED. Any BLOCKER/RELEASE_BLOCKER → BLOCKED. Release-critical stage.</t>
  </si>
  <si>
    <t xml:space="preserve">gate_status=PASSED only when S1–S4 all PASSED AND zero blockers. All layer outputs must be PASS or SKIP.</t>
  </si>
  <si>
    <t xml:space="preserve">── NON-HARD-GATE STAGES ──</t>
  </si>
  <si>
    <t xml:space="preserve">S1</t>
  </si>
  <si>
    <t xml:space="preserve">STANDARD</t>
  </si>
  <si>
    <t xml:space="preserve">S1 has no prerequisites. Still BLOCKED on BLOCKER/RELEASE_BLOCKER fails. Not a hard gate — future override mechanism could be applied.</t>
  </si>
  <si>
    <t xml:space="preserve">S2–S3</t>
  </si>
  <si>
    <t xml:space="preserve">Sequential prerequisites enforced. Not hard gates but BLOCKER/RELEASE_BLOCKER still cause BLOCKED status.</t>
  </si>
  <si>
    <t xml:space="preserve">S6–S10</t>
  </si>
  <si>
    <t xml:space="preserve">All post-S5 stages require S5=PASSED as prerequisite baseline. BLOCKER/RELEASE_BLOCKER cause BLOCKED.</t>
  </si>
  <si>
    <t xml:space="preserve">LANE 1 — BLOCK 3 │ Prerequisite Logic Status</t>
  </si>
  <si>
    <t xml:space="preserve">Stage prerequisite map and enforcement verification</t>
  </si>
  <si>
    <t xml:space="preserve">Prerequisites Required</t>
  </si>
  <si>
    <t xml:space="preserve">Prerequisites Logic</t>
  </si>
  <si>
    <t xml:space="preserve">Status</t>
  </si>
  <si>
    <t xml:space="preserve">Audit Write</t>
  </si>
  <si>
    <t xml:space="preserve">Notes</t>
  </si>
  <si>
    <t xml:space="preserve">None (entry stage)</t>
  </si>
  <si>
    <t xml:space="preserve">No check required — S1 is the initial stage</t>
  </si>
  <si>
    <t xml:space="preserve">✅ Yes</t>
  </si>
  <si>
    <t xml:space="preserve">Gate result written to project_stage_status; audit_event_log entry on GATE_TRANSITION</t>
  </si>
  <si>
    <t xml:space="preserve">S2</t>
  </si>
  <si>
    <t xml:space="preserve">S1 = PASSED</t>
  </si>
  <si>
    <t xml:space="preserve">check_prerequisites returns BLOCKED if S1 ≠ PASSED</t>
  </si>
  <si>
    <t xml:space="preserve">Audit event written with detail JSON including missing stages list</t>
  </si>
  <si>
    <t xml:space="preserve">S3</t>
  </si>
  <si>
    <t xml:space="preserve">S1, S2 = PASSED</t>
  </si>
  <si>
    <t xml:space="preserve">BLOCKED if either S1 or S2 ≠ PASSED</t>
  </si>
  <si>
    <t xml:space="preserve">Prerequisite gate evaluated before rule-level checks in evaluate_gate()</t>
  </si>
  <si>
    <t xml:space="preserve">S1, S2, S3 = PASSED</t>
  </si>
  <si>
    <t xml:space="preserve">HARD GATE — BLOCKED if any S1–S3 ≠ PASSED</t>
  </si>
  <si>
    <t xml:space="preserve">S4 is a hard gate: prerequisite check + blocker check both enforced</t>
  </si>
  <si>
    <t xml:space="preserve">S1–S4 = PASSED</t>
  </si>
  <si>
    <t xml:space="preserve">HARD GATE — BLOCKED if any S1–S4 ≠ PASSED</t>
  </si>
  <si>
    <t xml:space="preserve">S5 is a hard gate: S4 must be PASSED first — cannot skip via override</t>
  </si>
  <si>
    <t xml:space="preserve">S6</t>
  </si>
  <si>
    <t xml:space="preserve">S5 = PASSED</t>
  </si>
  <si>
    <t xml:space="preserve">BLOCKED if S5 ≠ PASSED</t>
  </si>
  <si>
    <t xml:space="preserve">Post-release gate; S5 PASSED is the baseline for all S6–S10</t>
  </si>
  <si>
    <t xml:space="preserve">S7</t>
  </si>
  <si>
    <t xml:space="preserve">S5, S6 = PASSED</t>
  </si>
  <si>
    <t xml:space="preserve">BLOCKED if either ≠ PASSED</t>
  </si>
  <si>
    <t xml:space="preserve">Sequential enforcement continues post-S5</t>
  </si>
  <si>
    <t xml:space="preserve">S8</t>
  </si>
  <si>
    <t xml:space="preserve">S5, S6, S7 = PASSED</t>
  </si>
  <si>
    <t xml:space="preserve">BLOCKED if any ≠ PASSED</t>
  </si>
  <si>
    <t xml:space="preserve">S9</t>
  </si>
  <si>
    <t xml:space="preserve">S5, S6, S7, S8 = PASSED</t>
  </si>
  <si>
    <t xml:space="preserve">S10</t>
  </si>
  <si>
    <t xml:space="preserve">S5–S9 = PASSED</t>
  </si>
  <si>
    <t xml:space="preserve">BLOCKED if any S5–S9 ≠ PASSED</t>
  </si>
  <si>
    <t xml:space="preserve">Final closeout gate; full chain must be PASSED</t>
  </si>
  <si>
    <t xml:space="preserve">A</t>
  </si>
  <si>
    <t xml:space="preserve">Audit on GATE_TRANSITION</t>
  </si>
  <si>
    <t xml:space="preserve">All stages</t>
  </si>
  <si>
    <t xml:space="preserve">AuditWriter.write(event_type='GATE_TRANSITION', ...)</t>
  </si>
  <si>
    <t xml:space="preserve">Writes project_id, run_id, gate_status, full gate_result JSON to audit_event_log (immutable)</t>
  </si>
  <si>
    <t xml:space="preserve">B</t>
  </si>
  <si>
    <t xml:space="preserve">Audit on validation_result</t>
  </si>
  <si>
    <t xml:space="preserve">All rules</t>
  </si>
  <si>
    <t xml:space="preserve">engine_core._write_result() per rule</t>
  </si>
  <si>
    <t xml:space="preserve">One validation_result row per rule per run. run_id groups batch for traceability.</t>
  </si>
  <si>
    <t xml:space="preserve">LANE 1 — BLOCK 3 │ Blockers &amp; Next Block Readiness</t>
  </si>
  <si>
    <t xml:space="preserve">Open issues, risks, and Block 4 start conditions</t>
  </si>
  <si>
    <t xml:space="preserve">Category</t>
  </si>
  <si>
    <t xml:space="preserve">Severity</t>
  </si>
  <si>
    <t xml:space="preserve">Detail</t>
  </si>
  <si>
    <t xml:space="preserve">Action / Owner</t>
  </si>
  <si>
    <t xml:space="preserve">Blocker</t>
  </si>
  <si>
    <t xml:space="preserve">ℹ️ Info</t>
  </si>
  <si>
    <t xml:space="preserve">🟢 Resolved</t>
  </si>
  <si>
    <t xml:space="preserve">Block 3 has zero open blockers. All six layer modules built, syntax-checked, and functionally tested.</t>
  </si>
  <si>
    <t xml:space="preserve">No action required — Lane 1 Agent</t>
  </si>
  <si>
    <t xml:space="preserve">Advisory — PRAGMA</t>
  </si>
  <si>
    <t xml:space="preserve">🟡 Medium</t>
  </si>
  <si>
    <t xml:space="preserve">foreign_keys = ON must be re-issued per DB connection. Engine init routine must include this PRAGMA on every connection open.</t>
  </si>
  <si>
    <t xml:space="preserve">Confirm in engine_core.get_connection() — Lane 1 Agent</t>
  </si>
  <si>
    <t xml:space="preserve">Advisory — Layers L06–L09, L11–L13</t>
  </si>
  <si>
    <t xml:space="preserve">🟠 High</t>
  </si>
  <si>
    <t xml:space="preserve">🟡 In Progress</t>
  </si>
  <si>
    <t xml:space="preserve">Advanced layers (dependency, cross-field, source governance, override, fallback, geometry RC) are defined in Block 6. Layer dispatch in engine_core currently uses stub evaluator.</t>
  </si>
  <si>
    <t xml:space="preserve">Block 6 Agent to implement advanced layers and register them in engine dispatch — Lane 1 Agent</t>
  </si>
  <si>
    <t xml:space="preserve">Advisory — Audit write dependency</t>
  </si>
  <si>
    <t xml:space="preserve">audit_writer confirmed to write gate transition events. Validation result rows written per-rule via engine_core._write_result(). Immutable audit trigger live-tested (Block 1).</t>
  </si>
  <si>
    <t xml:space="preserve">No action — Lane 1 Agent</t>
  </si>
  <si>
    <t xml:space="preserve">Next Block Dependency</t>
  </si>
  <si>
    <t xml:space="preserve">🟢 Low</t>
  </si>
  <si>
    <t xml:space="preserve">Block 4 (Lane Packaging Note) can start immediately. All Block 1–3 outputs are complete.</t>
  </si>
  <si>
    <t xml:space="preserve">Lane 1 Block 4 Agent to consolidate and package — Lane 1 Agent</t>
  </si>
  <si>
    <t xml:space="preserve">Block 5 (Seed Data, Migration, Initialization) has no dependency on Block 3 runtime layers — can run in parallel.</t>
  </si>
  <si>
    <t xml:space="preserve">Lane 1 Block 5 Agent — Lane 1 Agent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</si>
</sst>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4A4A4A"/>
        <bgColor rgb="FF1F3864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9E1F2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E5FA3"/>
      </left>
      <right/>
      <top style="thin">
        <color rgb="FF2E5FA3"/>
      </top>
      <bottom style="thin">
        <color rgb="FF2E5FA3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2E5FA3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44"/>
    <col collapsed="false" customWidth="true" hidden="false" outlineLevel="0" max="8" min="8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customFormat="false" ht="31.5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 customFormat="false" ht="21.75" hidden="false" customHeight="true" outlineLevel="0" collapsed="false">
      <c r="A6" s="5" t="s">
        <v>15</v>
      </c>
      <c r="B6" s="5"/>
      <c r="C6" s="5"/>
      <c r="D6" s="5"/>
      <c r="E6" s="5"/>
      <c r="F6" s="5"/>
      <c r="G6" s="5"/>
      <c r="H6" s="5"/>
    </row>
    <row r="7" customFormat="false" ht="36" hidden="false" customHeight="true" outlineLevel="0" collapsed="false">
      <c r="A7" s="6" t="n">
        <v>1</v>
      </c>
      <c r="B7" s="7" t="s">
        <v>16</v>
      </c>
      <c r="C7" s="6" t="s">
        <v>17</v>
      </c>
      <c r="D7" s="6" t="s">
        <v>18</v>
      </c>
      <c r="E7" s="6" t="s">
        <v>19</v>
      </c>
      <c r="F7" s="7" t="s">
        <v>20</v>
      </c>
      <c r="G7" s="7" t="s">
        <v>21</v>
      </c>
      <c r="H7" s="7" t="s">
        <v>22</v>
      </c>
    </row>
    <row r="8" customFormat="false" ht="36" hidden="false" customHeight="true" outlineLevel="0" collapsed="false">
      <c r="A8" s="8" t="n">
        <v>2</v>
      </c>
      <c r="B8" s="9" t="s">
        <v>23</v>
      </c>
      <c r="C8" s="8" t="s">
        <v>24</v>
      </c>
      <c r="D8" s="8" t="s">
        <v>18</v>
      </c>
      <c r="E8" s="8" t="s">
        <v>19</v>
      </c>
      <c r="F8" s="9" t="s">
        <v>25</v>
      </c>
      <c r="G8" s="9" t="s">
        <v>26</v>
      </c>
      <c r="H8" s="9" t="s">
        <v>22</v>
      </c>
    </row>
    <row r="9" customFormat="false" ht="36" hidden="false" customHeight="true" outlineLevel="0" collapsed="false">
      <c r="A9" s="6" t="n">
        <v>3</v>
      </c>
      <c r="B9" s="7" t="s">
        <v>27</v>
      </c>
      <c r="C9" s="6" t="s">
        <v>28</v>
      </c>
      <c r="D9" s="6" t="s">
        <v>18</v>
      </c>
      <c r="E9" s="6" t="s">
        <v>19</v>
      </c>
      <c r="F9" s="7" t="s">
        <v>29</v>
      </c>
      <c r="G9" s="7" t="s">
        <v>30</v>
      </c>
      <c r="H9" s="7" t="s">
        <v>22</v>
      </c>
    </row>
    <row r="10" customFormat="false" ht="36" hidden="false" customHeight="true" outlineLevel="0" collapsed="false">
      <c r="A10" s="8" t="n">
        <v>4</v>
      </c>
      <c r="B10" s="9" t="s">
        <v>31</v>
      </c>
      <c r="C10" s="8" t="s">
        <v>32</v>
      </c>
      <c r="D10" s="8" t="s">
        <v>18</v>
      </c>
      <c r="E10" s="8" t="s">
        <v>19</v>
      </c>
      <c r="F10" s="9" t="s">
        <v>33</v>
      </c>
      <c r="G10" s="9" t="s">
        <v>34</v>
      </c>
      <c r="H10" s="9" t="s">
        <v>22</v>
      </c>
    </row>
    <row r="11" customFormat="false" ht="36" hidden="false" customHeight="true" outlineLevel="0" collapsed="false">
      <c r="A11" s="6" t="n">
        <v>5</v>
      </c>
      <c r="B11" s="7" t="s">
        <v>35</v>
      </c>
      <c r="C11" s="6" t="s">
        <v>36</v>
      </c>
      <c r="D11" s="6" t="s">
        <v>18</v>
      </c>
      <c r="E11" s="6" t="s">
        <v>19</v>
      </c>
      <c r="F11" s="7" t="s">
        <v>20</v>
      </c>
      <c r="G11" s="7" t="s">
        <v>37</v>
      </c>
      <c r="H11" s="7" t="s">
        <v>22</v>
      </c>
    </row>
    <row r="12" customFormat="false" ht="21.75" hidden="false" customHeight="true" outlineLevel="0" collapsed="false">
      <c r="A12" s="5" t="s">
        <v>38</v>
      </c>
      <c r="B12" s="5"/>
      <c r="C12" s="5"/>
      <c r="D12" s="5"/>
      <c r="E12" s="5"/>
      <c r="F12" s="5"/>
      <c r="G12" s="5"/>
      <c r="H12" s="5"/>
    </row>
    <row r="13" customFormat="false" ht="36" hidden="false" customHeight="true" outlineLevel="0" collapsed="false">
      <c r="A13" s="8" t="n">
        <v>6</v>
      </c>
      <c r="B13" s="9" t="s">
        <v>39</v>
      </c>
      <c r="C13" s="8" t="s">
        <v>40</v>
      </c>
      <c r="D13" s="8" t="s">
        <v>18</v>
      </c>
      <c r="E13" s="8" t="s">
        <v>19</v>
      </c>
      <c r="F13" s="9" t="s">
        <v>41</v>
      </c>
      <c r="G13" s="9" t="s">
        <v>42</v>
      </c>
      <c r="H13" s="9" t="s">
        <v>22</v>
      </c>
    </row>
    <row r="14" customFormat="false" ht="36" hidden="false" customHeight="true" outlineLevel="0" collapsed="false">
      <c r="A14" s="6" t="s">
        <v>43</v>
      </c>
      <c r="B14" s="7" t="s">
        <v>44</v>
      </c>
      <c r="C14" s="6" t="s">
        <v>45</v>
      </c>
      <c r="D14" s="6" t="s">
        <v>18</v>
      </c>
      <c r="E14" s="6" t="s">
        <v>19</v>
      </c>
      <c r="F14" s="7" t="s">
        <v>46</v>
      </c>
      <c r="G14" s="7" t="s">
        <v>47</v>
      </c>
      <c r="H14" s="7" t="s">
        <v>22</v>
      </c>
    </row>
    <row r="16" customFormat="false" ht="15" hidden="false" customHeight="false" outlineLevel="0" collapsed="false">
      <c r="A16" s="10" t="s">
        <v>48</v>
      </c>
      <c r="B16" s="10"/>
      <c r="C16" s="10"/>
      <c r="D16" s="10"/>
      <c r="E16" s="10"/>
      <c r="F16" s="10"/>
      <c r="G16" s="10"/>
      <c r="H16" s="10"/>
    </row>
    <row r="17" customFormat="false" ht="27.75" hidden="false" customHeight="true" outlineLevel="0" collapsed="false">
      <c r="A17" s="11" t="s">
        <v>49</v>
      </c>
      <c r="B17" s="11" t="s">
        <v>18</v>
      </c>
      <c r="C17" s="11" t="s">
        <v>50</v>
      </c>
      <c r="D17" s="11" t="s">
        <v>51</v>
      </c>
      <c r="E17" s="11" t="s">
        <v>52</v>
      </c>
      <c r="F17" s="11" t="s">
        <v>53</v>
      </c>
      <c r="G17" s="11" t="s">
        <v>54</v>
      </c>
      <c r="H17" s="11" t="s">
        <v>55</v>
      </c>
    </row>
    <row r="18" customFormat="false" ht="27.75" hidden="false" customHeight="true" outlineLevel="0" collapsed="false">
      <c r="A18" s="12" t="n">
        <v>7</v>
      </c>
      <c r="B18" s="12" t="n">
        <f aca="false">COUNTIF(D6:D14,"✅ Complete")</f>
        <v>7</v>
      </c>
      <c r="C18" s="12" t="n">
        <f aca="false">COUNTIF(D6:D14,"⚠️ Partial")</f>
        <v>0</v>
      </c>
      <c r="D18" s="12" t="n">
        <f aca="false">COUNTIF(D6:D14,"❌ Not Built")</f>
        <v>0</v>
      </c>
      <c r="E18" s="12" t="n">
        <f aca="false">COUNTIF(D6:D14,"🔁 In Progress")</f>
        <v>0</v>
      </c>
      <c r="F18" s="12" t="n">
        <f aca="false">COUNTIF(D6:D14,"🔒 Blocked")</f>
        <v>0</v>
      </c>
      <c r="G18" s="12" t="s">
        <v>56</v>
      </c>
      <c r="H18" s="12" t="s">
        <v>3</v>
      </c>
    </row>
  </sheetData>
  <mergeCells count="5">
    <mergeCell ref="A2:H2"/>
    <mergeCell ref="A3:H3"/>
    <mergeCell ref="A6:H6"/>
    <mergeCell ref="A12:H12"/>
    <mergeCell ref="A16:H16"/>
  </mergeCells>
  <dataValidations count="2">
    <dataValidation allowBlank="true" errorStyle="stop" operator="between" showDropDown="false" showErrorMessage="false" showInputMessage="false" sqref="D7:D11 D13:D14" type="list">
      <formula1>"✅ Complete,⚠️ Partial,❌ Not Built,🔁 In Progress,🔒 Blocked,N/A"</formula1>
      <formula2>0</formula2>
    </dataValidation>
    <dataValidation allowBlank="true" errorStyle="stop" operator="between" showDropDown="false" showErrorMessage="false" showInputMessage="false" sqref="E7:E11 E13:E14" type="list">
      <formula1>"✅ Tested,⚠️ Partial Test,❌ Not Tested,N/A"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44"/>
    <col collapsed="false" customWidth="true" hidden="false" outlineLevel="0" max="8" min="8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 t="s">
        <v>57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58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customFormat="false" ht="31.5" hidden="false" customHeight="true" outlineLevel="0" collapsed="false">
      <c r="A5" s="4" t="s">
        <v>7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65</v>
      </c>
    </row>
    <row r="6" customFormat="false" ht="21.75" hidden="false" customHeight="true" outlineLevel="0" collapsed="false">
      <c r="A6" s="5" t="s">
        <v>66</v>
      </c>
      <c r="B6" s="5"/>
      <c r="C6" s="5"/>
      <c r="D6" s="5"/>
      <c r="E6" s="5"/>
      <c r="F6" s="5"/>
      <c r="G6" s="5"/>
      <c r="H6" s="5"/>
    </row>
    <row r="7" customFormat="false" ht="36" hidden="false" customHeight="true" outlineLevel="0" collapsed="false">
      <c r="A7" s="6" t="n">
        <v>1</v>
      </c>
      <c r="B7" s="6" t="s">
        <v>67</v>
      </c>
      <c r="C7" s="6" t="s">
        <v>68</v>
      </c>
      <c r="D7" s="6" t="s">
        <v>69</v>
      </c>
      <c r="E7" s="6" t="s">
        <v>69</v>
      </c>
      <c r="F7" s="6" t="s">
        <v>69</v>
      </c>
      <c r="G7" s="7" t="s">
        <v>70</v>
      </c>
      <c r="H7" s="6" t="s">
        <v>71</v>
      </c>
    </row>
    <row r="8" customFormat="false" ht="36" hidden="false" customHeight="true" outlineLevel="0" collapsed="false">
      <c r="A8" s="8" t="n">
        <v>2</v>
      </c>
      <c r="B8" s="8" t="s">
        <v>67</v>
      </c>
      <c r="C8" s="8" t="s">
        <v>72</v>
      </c>
      <c r="D8" s="8" t="s">
        <v>73</v>
      </c>
      <c r="E8" s="8" t="s">
        <v>73</v>
      </c>
      <c r="F8" s="8" t="s">
        <v>74</v>
      </c>
      <c r="G8" s="9" t="s">
        <v>75</v>
      </c>
      <c r="H8" s="8" t="s">
        <v>71</v>
      </c>
    </row>
    <row r="9" customFormat="false" ht="36" hidden="false" customHeight="true" outlineLevel="0" collapsed="false">
      <c r="A9" s="6" t="n">
        <v>3</v>
      </c>
      <c r="B9" s="6" t="s">
        <v>67</v>
      </c>
      <c r="C9" s="6" t="s">
        <v>76</v>
      </c>
      <c r="D9" s="6" t="s">
        <v>77</v>
      </c>
      <c r="E9" s="6" t="s">
        <v>77</v>
      </c>
      <c r="F9" s="6" t="s">
        <v>69</v>
      </c>
      <c r="G9" s="7" t="s">
        <v>78</v>
      </c>
      <c r="H9" s="6" t="s">
        <v>71</v>
      </c>
    </row>
    <row r="10" customFormat="false" ht="21.75" hidden="false" customHeight="true" outlineLevel="0" collapsed="false">
      <c r="A10" s="5" t="s">
        <v>79</v>
      </c>
      <c r="B10" s="5"/>
      <c r="C10" s="5"/>
      <c r="D10" s="5"/>
      <c r="E10" s="5"/>
      <c r="F10" s="5"/>
      <c r="G10" s="5"/>
      <c r="H10" s="5"/>
    </row>
    <row r="11" customFormat="false" ht="36" hidden="false" customHeight="true" outlineLevel="0" collapsed="false">
      <c r="A11" s="8" t="n">
        <v>4</v>
      </c>
      <c r="B11" s="8" t="s">
        <v>80</v>
      </c>
      <c r="C11" s="8" t="s">
        <v>68</v>
      </c>
      <c r="D11" s="8" t="s">
        <v>69</v>
      </c>
      <c r="E11" s="8" t="s">
        <v>69</v>
      </c>
      <c r="F11" s="8" t="s">
        <v>69</v>
      </c>
      <c r="G11" s="9" t="s">
        <v>81</v>
      </c>
      <c r="H11" s="8" t="s">
        <v>71</v>
      </c>
    </row>
    <row r="12" customFormat="false" ht="36" hidden="false" customHeight="true" outlineLevel="0" collapsed="false">
      <c r="A12" s="6" t="n">
        <v>5</v>
      </c>
      <c r="B12" s="6" t="s">
        <v>80</v>
      </c>
      <c r="C12" s="6" t="s">
        <v>72</v>
      </c>
      <c r="D12" s="6" t="s">
        <v>73</v>
      </c>
      <c r="E12" s="6" t="s">
        <v>73</v>
      </c>
      <c r="F12" s="6" t="s">
        <v>74</v>
      </c>
      <c r="G12" s="7" t="s">
        <v>82</v>
      </c>
      <c r="H12" s="6" t="s">
        <v>71</v>
      </c>
    </row>
    <row r="13" customFormat="false" ht="21.75" hidden="false" customHeight="true" outlineLevel="0" collapsed="false">
      <c r="A13" s="5" t="s">
        <v>83</v>
      </c>
      <c r="B13" s="5"/>
      <c r="C13" s="5"/>
      <c r="D13" s="5"/>
      <c r="E13" s="5"/>
      <c r="F13" s="5"/>
      <c r="G13" s="5"/>
      <c r="H13" s="5"/>
    </row>
    <row r="14" customFormat="false" ht="36" hidden="false" customHeight="true" outlineLevel="0" collapsed="false">
      <c r="A14" s="8" t="n">
        <v>6</v>
      </c>
      <c r="B14" s="8" t="s">
        <v>84</v>
      </c>
      <c r="C14" s="8" t="s">
        <v>85</v>
      </c>
      <c r="D14" s="8" t="s">
        <v>69</v>
      </c>
      <c r="E14" s="8" t="s">
        <v>69</v>
      </c>
      <c r="F14" s="8" t="s">
        <v>69</v>
      </c>
      <c r="G14" s="9" t="s">
        <v>86</v>
      </c>
      <c r="H14" s="8" t="s">
        <v>71</v>
      </c>
    </row>
    <row r="15" customFormat="false" ht="36" hidden="false" customHeight="true" outlineLevel="0" collapsed="false">
      <c r="A15" s="6" t="n">
        <v>7</v>
      </c>
      <c r="B15" s="6" t="s">
        <v>87</v>
      </c>
      <c r="C15" s="6" t="s">
        <v>85</v>
      </c>
      <c r="D15" s="6" t="s">
        <v>69</v>
      </c>
      <c r="E15" s="6" t="s">
        <v>69</v>
      </c>
      <c r="F15" s="6" t="s">
        <v>69</v>
      </c>
      <c r="G15" s="7" t="s">
        <v>88</v>
      </c>
      <c r="H15" s="6" t="s">
        <v>71</v>
      </c>
    </row>
    <row r="16" customFormat="false" ht="36" hidden="false" customHeight="true" outlineLevel="0" collapsed="false">
      <c r="A16" s="8" t="n">
        <v>8</v>
      </c>
      <c r="B16" s="8" t="s">
        <v>89</v>
      </c>
      <c r="C16" s="8" t="s">
        <v>85</v>
      </c>
      <c r="D16" s="8" t="s">
        <v>69</v>
      </c>
      <c r="E16" s="8" t="s">
        <v>69</v>
      </c>
      <c r="F16" s="8" t="s">
        <v>69</v>
      </c>
      <c r="G16" s="9" t="s">
        <v>90</v>
      </c>
      <c r="H16" s="8" t="s">
        <v>71</v>
      </c>
    </row>
  </sheetData>
  <mergeCells count="5">
    <mergeCell ref="A2:H2"/>
    <mergeCell ref="A3:H3"/>
    <mergeCell ref="A6:H6"/>
    <mergeCell ref="A10:H10"/>
    <mergeCell ref="A13:H13"/>
  </mergeCells>
  <dataValidations count="1">
    <dataValidation allowBlank="true" errorStyle="stop" operator="between" showDropDown="false" showErrorMessage="false" showInputMessage="false" sqref="H7:H9 H11:H12 H14:H16" type="list">
      <formula1>"✅ Verified,⚠️ Needs Review,❌ Not Verified,N/A"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30"/>
    <col collapsed="false" customWidth="true" hidden="false" outlineLevel="0" max="6" min="5" style="0" width="18"/>
    <col collapsed="false" customWidth="true" hidden="false" outlineLevel="0" max="7" min="7" style="0" width="36"/>
    <col collapsed="false" customWidth="true" hidden="false" outlineLevel="0" max="8" min="8" style="0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 t="s">
        <v>91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92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customFormat="false" ht="31.5" hidden="false" customHeight="true" outlineLevel="0" collapsed="false">
      <c r="A5" s="4" t="s">
        <v>7</v>
      </c>
      <c r="B5" s="4" t="s">
        <v>59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65</v>
      </c>
    </row>
    <row r="6" customFormat="false" ht="36" hidden="false" customHeight="true" outlineLevel="0" collapsed="false">
      <c r="A6" s="8" t="n">
        <v>1</v>
      </c>
      <c r="B6" s="8" t="s">
        <v>84</v>
      </c>
      <c r="C6" s="9" t="s">
        <v>98</v>
      </c>
      <c r="D6" s="9" t="s">
        <v>99</v>
      </c>
      <c r="E6" s="8" t="s">
        <v>71</v>
      </c>
      <c r="F6" s="8" t="s">
        <v>100</v>
      </c>
      <c r="G6" s="9" t="s">
        <v>101</v>
      </c>
      <c r="H6" s="8" t="s">
        <v>71</v>
      </c>
    </row>
    <row r="7" customFormat="false" ht="36" hidden="false" customHeight="true" outlineLevel="0" collapsed="false">
      <c r="A7" s="6" t="n">
        <v>2</v>
      </c>
      <c r="B7" s="6" t="s">
        <v>102</v>
      </c>
      <c r="C7" s="7" t="s">
        <v>103</v>
      </c>
      <c r="D7" s="7" t="s">
        <v>104</v>
      </c>
      <c r="E7" s="6" t="s">
        <v>71</v>
      </c>
      <c r="F7" s="6" t="s">
        <v>100</v>
      </c>
      <c r="G7" s="7" t="s">
        <v>105</v>
      </c>
      <c r="H7" s="6" t="s">
        <v>71</v>
      </c>
    </row>
    <row r="8" customFormat="false" ht="36" hidden="false" customHeight="true" outlineLevel="0" collapsed="false">
      <c r="A8" s="8" t="n">
        <v>3</v>
      </c>
      <c r="B8" s="8" t="s">
        <v>106</v>
      </c>
      <c r="C8" s="9" t="s">
        <v>107</v>
      </c>
      <c r="D8" s="9" t="s">
        <v>108</v>
      </c>
      <c r="E8" s="8" t="s">
        <v>71</v>
      </c>
      <c r="F8" s="8" t="s">
        <v>100</v>
      </c>
      <c r="G8" s="9" t="s">
        <v>109</v>
      </c>
      <c r="H8" s="8" t="s">
        <v>71</v>
      </c>
    </row>
    <row r="9" customFormat="false" ht="36" hidden="false" customHeight="true" outlineLevel="0" collapsed="false">
      <c r="A9" s="6" t="n">
        <v>4</v>
      </c>
      <c r="B9" s="6" t="s">
        <v>67</v>
      </c>
      <c r="C9" s="7" t="s">
        <v>110</v>
      </c>
      <c r="D9" s="7" t="s">
        <v>111</v>
      </c>
      <c r="E9" s="6" t="s">
        <v>71</v>
      </c>
      <c r="F9" s="6" t="s">
        <v>100</v>
      </c>
      <c r="G9" s="7" t="s">
        <v>112</v>
      </c>
      <c r="H9" s="6" t="s">
        <v>71</v>
      </c>
    </row>
    <row r="10" customFormat="false" ht="36" hidden="false" customHeight="true" outlineLevel="0" collapsed="false">
      <c r="A10" s="8" t="n">
        <v>5</v>
      </c>
      <c r="B10" s="8" t="s">
        <v>80</v>
      </c>
      <c r="C10" s="9" t="s">
        <v>113</v>
      </c>
      <c r="D10" s="9" t="s">
        <v>114</v>
      </c>
      <c r="E10" s="8" t="s">
        <v>71</v>
      </c>
      <c r="F10" s="8" t="s">
        <v>100</v>
      </c>
      <c r="G10" s="9" t="s">
        <v>115</v>
      </c>
      <c r="H10" s="8" t="s">
        <v>71</v>
      </c>
    </row>
    <row r="11" customFormat="false" ht="36" hidden="false" customHeight="true" outlineLevel="0" collapsed="false">
      <c r="A11" s="6" t="n">
        <v>6</v>
      </c>
      <c r="B11" s="6" t="s">
        <v>116</v>
      </c>
      <c r="C11" s="7" t="s">
        <v>117</v>
      </c>
      <c r="D11" s="7" t="s">
        <v>118</v>
      </c>
      <c r="E11" s="6" t="s">
        <v>71</v>
      </c>
      <c r="F11" s="6" t="s">
        <v>100</v>
      </c>
      <c r="G11" s="7" t="s">
        <v>119</v>
      </c>
      <c r="H11" s="6" t="s">
        <v>71</v>
      </c>
    </row>
    <row r="12" customFormat="false" ht="36" hidden="false" customHeight="true" outlineLevel="0" collapsed="false">
      <c r="A12" s="8" t="n">
        <v>7</v>
      </c>
      <c r="B12" s="8" t="s">
        <v>120</v>
      </c>
      <c r="C12" s="9" t="s">
        <v>121</v>
      </c>
      <c r="D12" s="9" t="s">
        <v>122</v>
      </c>
      <c r="E12" s="8" t="s">
        <v>71</v>
      </c>
      <c r="F12" s="8" t="s">
        <v>100</v>
      </c>
      <c r="G12" s="9" t="s">
        <v>123</v>
      </c>
      <c r="H12" s="8" t="s">
        <v>71</v>
      </c>
    </row>
    <row r="13" customFormat="false" ht="36" hidden="false" customHeight="true" outlineLevel="0" collapsed="false">
      <c r="A13" s="6" t="n">
        <v>8</v>
      </c>
      <c r="B13" s="6" t="s">
        <v>124</v>
      </c>
      <c r="C13" s="7" t="s">
        <v>125</v>
      </c>
      <c r="D13" s="7" t="s">
        <v>126</v>
      </c>
      <c r="E13" s="6" t="s">
        <v>71</v>
      </c>
      <c r="F13" s="6" t="s">
        <v>100</v>
      </c>
      <c r="G13" s="7"/>
      <c r="H13" s="6" t="s">
        <v>71</v>
      </c>
    </row>
    <row r="14" customFormat="false" ht="36" hidden="false" customHeight="true" outlineLevel="0" collapsed="false">
      <c r="A14" s="8" t="n">
        <v>9</v>
      </c>
      <c r="B14" s="8" t="s">
        <v>127</v>
      </c>
      <c r="C14" s="9" t="s">
        <v>128</v>
      </c>
      <c r="D14" s="9" t="s">
        <v>126</v>
      </c>
      <c r="E14" s="8" t="s">
        <v>71</v>
      </c>
      <c r="F14" s="8" t="s">
        <v>100</v>
      </c>
      <c r="G14" s="9"/>
      <c r="H14" s="8" t="s">
        <v>71</v>
      </c>
    </row>
    <row r="15" customFormat="false" ht="36" hidden="false" customHeight="true" outlineLevel="0" collapsed="false">
      <c r="A15" s="6" t="n">
        <v>10</v>
      </c>
      <c r="B15" s="6" t="s">
        <v>129</v>
      </c>
      <c r="C15" s="7" t="s">
        <v>130</v>
      </c>
      <c r="D15" s="7" t="s">
        <v>131</v>
      </c>
      <c r="E15" s="6" t="s">
        <v>71</v>
      </c>
      <c r="F15" s="6" t="s">
        <v>100</v>
      </c>
      <c r="G15" s="7" t="s">
        <v>132</v>
      </c>
      <c r="H15" s="6" t="s">
        <v>71</v>
      </c>
    </row>
    <row r="16" customFormat="false" ht="36" hidden="false" customHeight="true" outlineLevel="0" collapsed="false">
      <c r="A16" s="8" t="s">
        <v>133</v>
      </c>
      <c r="B16" s="8" t="s">
        <v>134</v>
      </c>
      <c r="C16" s="9" t="s">
        <v>135</v>
      </c>
      <c r="D16" s="9" t="s">
        <v>136</v>
      </c>
      <c r="E16" s="8" t="s">
        <v>71</v>
      </c>
      <c r="F16" s="8" t="s">
        <v>100</v>
      </c>
      <c r="G16" s="9" t="s">
        <v>137</v>
      </c>
      <c r="H16" s="8" t="s">
        <v>71</v>
      </c>
    </row>
    <row r="17" customFormat="false" ht="36" hidden="false" customHeight="true" outlineLevel="0" collapsed="false">
      <c r="A17" s="6" t="s">
        <v>138</v>
      </c>
      <c r="B17" s="6" t="s">
        <v>139</v>
      </c>
      <c r="C17" s="7" t="s">
        <v>140</v>
      </c>
      <c r="D17" s="7" t="s">
        <v>141</v>
      </c>
      <c r="E17" s="6" t="s">
        <v>71</v>
      </c>
      <c r="F17" s="6" t="s">
        <v>100</v>
      </c>
      <c r="G17" s="7" t="s">
        <v>142</v>
      </c>
      <c r="H17" s="6" t="s">
        <v>71</v>
      </c>
    </row>
  </sheetData>
  <mergeCells count="2">
    <mergeCell ref="A2:H2"/>
    <mergeCell ref="A3:H3"/>
  </mergeCells>
  <dataValidations count="1">
    <dataValidation allowBlank="true" errorStyle="stop" operator="between" showDropDown="false" showErrorMessage="false" showInputMessage="false" sqref="H6:H17" type="list">
      <formula1>"✅ Verified,⚠️ Needs Review,❌ Not Verified,N/A"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30"/>
  </cols>
  <sheetData>
    <row r="2" customFormat="false" ht="36" hidden="false" customHeight="true" outlineLevel="0" collapsed="false">
      <c r="A2" s="1" t="s">
        <v>143</v>
      </c>
      <c r="B2" s="1"/>
      <c r="C2" s="1"/>
      <c r="D2" s="1"/>
      <c r="E2" s="1"/>
      <c r="F2" s="1"/>
    </row>
    <row r="3" customFormat="false" ht="19.5" hidden="false" customHeight="true" outlineLevel="0" collapsed="false">
      <c r="A3" s="2" t="s">
        <v>144</v>
      </c>
      <c r="B3" s="2"/>
      <c r="C3" s="2"/>
      <c r="D3" s="2"/>
      <c r="E3" s="2"/>
      <c r="F3" s="2"/>
    </row>
    <row r="5" customFormat="false" ht="31.5" hidden="false" customHeight="true" outlineLevel="0" collapsed="false">
      <c r="A5" s="4" t="s">
        <v>7</v>
      </c>
      <c r="B5" s="4" t="s">
        <v>145</v>
      </c>
      <c r="C5" s="4" t="s">
        <v>146</v>
      </c>
      <c r="D5" s="4" t="s">
        <v>95</v>
      </c>
      <c r="E5" s="4" t="s">
        <v>147</v>
      </c>
      <c r="F5" s="4" t="s">
        <v>148</v>
      </c>
    </row>
    <row r="6" customFormat="false" ht="39.75" hidden="false" customHeight="true" outlineLevel="0" collapsed="false">
      <c r="A6" s="8" t="n">
        <v>1</v>
      </c>
      <c r="B6" s="8" t="s">
        <v>149</v>
      </c>
      <c r="C6" s="8" t="s">
        <v>150</v>
      </c>
      <c r="D6" s="8" t="s">
        <v>151</v>
      </c>
      <c r="E6" s="9" t="s">
        <v>152</v>
      </c>
      <c r="F6" s="9" t="s">
        <v>153</v>
      </c>
    </row>
    <row r="7" customFormat="false" ht="39.75" hidden="false" customHeight="true" outlineLevel="0" collapsed="false">
      <c r="A7" s="6" t="n">
        <v>2</v>
      </c>
      <c r="B7" s="6" t="s">
        <v>154</v>
      </c>
      <c r="C7" s="6" t="s">
        <v>155</v>
      </c>
      <c r="D7" s="6" t="s">
        <v>151</v>
      </c>
      <c r="E7" s="7" t="s">
        <v>156</v>
      </c>
      <c r="F7" s="7" t="s">
        <v>157</v>
      </c>
    </row>
    <row r="8" customFormat="false" ht="39.75" hidden="false" customHeight="true" outlineLevel="0" collapsed="false">
      <c r="A8" s="8" t="n">
        <v>3</v>
      </c>
      <c r="B8" s="8" t="s">
        <v>158</v>
      </c>
      <c r="C8" s="8" t="s">
        <v>159</v>
      </c>
      <c r="D8" s="8" t="s">
        <v>160</v>
      </c>
      <c r="E8" s="9" t="s">
        <v>161</v>
      </c>
      <c r="F8" s="9" t="s">
        <v>162</v>
      </c>
    </row>
    <row r="9" customFormat="false" ht="39.75" hidden="false" customHeight="true" outlineLevel="0" collapsed="false">
      <c r="A9" s="6" t="n">
        <v>4</v>
      </c>
      <c r="B9" s="6" t="s">
        <v>163</v>
      </c>
      <c r="C9" s="6" t="s">
        <v>150</v>
      </c>
      <c r="D9" s="6" t="s">
        <v>151</v>
      </c>
      <c r="E9" s="7" t="s">
        <v>164</v>
      </c>
      <c r="F9" s="7" t="s">
        <v>165</v>
      </c>
    </row>
    <row r="10" customFormat="false" ht="39.75" hidden="false" customHeight="true" outlineLevel="0" collapsed="false">
      <c r="A10" s="8" t="n">
        <v>5</v>
      </c>
      <c r="B10" s="8" t="s">
        <v>166</v>
      </c>
      <c r="C10" s="8" t="s">
        <v>167</v>
      </c>
      <c r="D10" s="8" t="s">
        <v>151</v>
      </c>
      <c r="E10" s="9" t="s">
        <v>168</v>
      </c>
      <c r="F10" s="9" t="s">
        <v>169</v>
      </c>
    </row>
    <row r="11" customFormat="false" ht="39.75" hidden="false" customHeight="true" outlineLevel="0" collapsed="false">
      <c r="A11" s="6" t="n">
        <v>6</v>
      </c>
      <c r="B11" s="6" t="s">
        <v>166</v>
      </c>
      <c r="C11" s="6" t="s">
        <v>167</v>
      </c>
      <c r="D11" s="6" t="s">
        <v>151</v>
      </c>
      <c r="E11" s="7" t="s">
        <v>170</v>
      </c>
      <c r="F11" s="7" t="s">
        <v>171</v>
      </c>
    </row>
  </sheetData>
  <mergeCells count="2">
    <mergeCell ref="A2:F2"/>
    <mergeCell ref="A3:F3"/>
  </mergeCells>
  <dataValidations count="2">
    <dataValidation allowBlank="true" errorStyle="stop" operator="between" showDropDown="false" showErrorMessage="false" showInputMessage="false" sqref="C6:C11" type="list">
      <formula1>"🔴 Blocker,🟠 High,🟡 Medium,🟢 Low,ℹ️ Info"</formula1>
      <formula2>0</formula2>
    </dataValidation>
    <dataValidation allowBlank="true" errorStyle="stop" operator="between" showDropDown="false" showErrorMessage="false" showInputMessage="false" sqref="D6:D11" type="list">
      <formula1>"🔴 Open,🟡 In Progress,🟢 Resolved,N/A"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2026-04-27T06:44:39Z</dcterms:created>
  <dc:creator>openpyxl</dc:creator>
  <dc:description/>
  <dc:language>en-US</dc:language>
  <cp:lastModifiedBy/>
  <dcterms:modified xsi:type="dcterms:W3CDTF">2026-04-27T06:44:39Z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