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re Modules Completed" sheetId="1" state="visible" r:id="rId3"/>
    <sheet name="SQLite RW Dependenci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<sst xmlns="http://schemas.openxmlformats.org/spreadsheetml/2006/main" count="204" uniqueCount="119">
  <si>
    <t xml:space="preserve">LANE 1 — BLOCK 2 │ Rule Engine Core Module Build</t>
  </si>
  <si>
    <t xml:space="preserve">Steel Detailing Desktop System  ·  Engine Core Execution Pack  ·  Lane 1 Block 2</t>
  </si>
  <si>
    <t xml:space="preserve">Prepared by:</t>
  </si>
  <si>
    <t xml:space="preserve">Lane 1 Block 2 Agent</t>
  </si>
  <si>
    <t xml:space="preserve">Date:</t>
  </si>
  <si>
    <t xml:space="preserve">2026-04-27</t>
  </si>
  <si>
    <t xml:space="preserve">v1.0</t>
  </si>
  <si>
    <t xml:space="preserve">#</t>
  </si>
  <si>
    <t xml:space="preserve">Module / Component</t>
  </si>
  <si>
    <t xml:space="preserve">Type</t>
  </si>
  <si>
    <t xml:space="preserve">Build Status</t>
  </si>
  <si>
    <t xml:space="preserve">DB Dependency</t>
  </si>
  <si>
    <t xml:space="preserve">Interface</t>
  </si>
  <si>
    <t xml:space="preserve">Notes / Detail</t>
  </si>
  <si>
    <t xml:space="preserve">Owner</t>
  </si>
  <si>
    <t xml:space="preserve">── SECTION 1: CORE ENGINE MODULES ──</t>
  </si>
  <si>
    <t xml:space="preserve">engine_core</t>
  </si>
  <si>
    <t xml:space="preserve">Orchestrator</t>
  </si>
  <si>
    <t xml:space="preserve">✅ Complete</t>
  </si>
  <si>
    <t xml:space="preserve">✅ Verified</t>
  </si>
  <si>
    <t xml:space="preserve">EngineCore.run(project_id, stage)</t>
  </si>
  <si>
    <t xml:space="preserve">Connects all sub-modules; manages run_id; calls rule_loader → severity_handler → blocker_registry → audit_writer; writes to validation_result and project_stage_status</t>
  </si>
  <si>
    <t xml:space="preserve">Lane 1 Agent</t>
  </si>
  <si>
    <t xml:space="preserve">rule_loader</t>
  </si>
  <si>
    <t xml:space="preserve">Data Access</t>
  </si>
  <si>
    <t xml:space="preserve">RuleLoader.load_rules(stage) / load_by_layer(layer,stage)</t>
  </si>
  <si>
    <t xml:space="preserve">Reads from validation_rule_master WHERE is_active=1 AND (stage_scope IS NULL OR stage_scope=?). Returns typed dicts ordered by layer, severity.</t>
  </si>
  <si>
    <t xml:space="preserve">severity_handler</t>
  </si>
  <si>
    <t xml:space="preserve">Logic</t>
  </si>
  <si>
    <t xml:space="preserve">SeverityHandler.record(rule, outcome) / gate_result(stage, blocker_registry)</t>
  </si>
  <si>
    <t xml:space="preserve">Tracks BLOCKER/RELEASE_BLOCKER/ERROR/WARNING/INFO counts. Hard-gate enforced for S4 and S5 — any BLOCKER or RELEASE_BLOCKER fail → gate_status=BLOCKED regardless of other results.</t>
  </si>
  <si>
    <t xml:space="preserve">blocker_registry</t>
  </si>
  <si>
    <t xml:space="preserve">Accumulator</t>
  </si>
  <si>
    <t xml:space="preserve">BlockerRegistry.register(rule, detail) / get_all(severity) / summary()</t>
  </si>
  <si>
    <t xml:space="preserve">Groups failed rules by severity into defaultdict. Provides count(), get_all(), summary() for gate result model and downstream reporting.</t>
  </si>
  <si>
    <t xml:space="preserve">audit_writer</t>
  </si>
  <si>
    <t xml:space="preserve">Persistence</t>
  </si>
  <si>
    <t xml:space="preserve">AuditWriter.write(event_type, summary, ...)</t>
  </si>
  <si>
    <t xml:space="preserve">Inserts to audit_event_log with is_immutable=1. Accepts project_id, related_id, related_table, JSON detail payload. Returns audit_id for traceability.</t>
  </si>
  <si>
    <t xml:space="preserve">── SECTION 2: RULE LOADING CONFIRMATION ──</t>
  </si>
  <si>
    <t xml:space="preserve">C1</t>
  </si>
  <si>
    <t xml:space="preserve">Rule load from validation_rule_master</t>
  </si>
  <si>
    <t xml:space="preserve">DB Read</t>
  </si>
  <si>
    <t xml:space="preserve">SELECT ... WHERE is_active=1 AND (stage_scope IS NULL OR stage_scope=?)</t>
  </si>
  <si>
    <t xml:space="preserve">Confirmed: query filters by stage_scope allowing NULL (global) rules. ORDER BY layer, severity ensures deterministic execution order.</t>
  </si>
  <si>
    <t xml:space="preserve">C2</t>
  </si>
  <si>
    <t xml:space="preserve">Rule load by specific layer</t>
  </si>
  <si>
    <t xml:space="preserve">load_by_layer(layer, stage)</t>
  </si>
  <si>
    <t xml:space="preserve">Allows Block 3 layer modules to pull only their ruleset without full-scan. Supports L01–L13 layer codes.</t>
  </si>
  <si>
    <t xml:space="preserve">── SECTION 3: GATE RESULT MODEL ──</t>
  </si>
  <si>
    <t xml:space="preserve">G1</t>
  </si>
  <si>
    <t xml:space="preserve">Gate result model structure</t>
  </si>
  <si>
    <t xml:space="preserve">N/A</t>
  </si>
  <si>
    <t xml:space="preserve">dict: gate_status, is_hard_gate, severity_counts, blocker_count, release_blocker_count, error_count, warning_count</t>
  </si>
  <si>
    <t xml:space="preserve">gate_status ∈ {PASSED, OPEN, BLOCKED}. PASSED = no fails. OPEN = errors/warnings but no blockers. BLOCKED = BLOCKER or RELEASE_BLOCKER present.</t>
  </si>
  <si>
    <t xml:space="preserve">G2</t>
  </si>
  <si>
    <t xml:space="preserve">S4 hard-gate blocking</t>
  </si>
  <si>
    <t xml:space="preserve">SeverityHandler.gate_result — HARD_GATE_STAGES={'S4','S5'}</t>
  </si>
  <si>
    <t xml:space="preserve">S4 and S5 unconditionally BLOCKED if any BLOCKER or RELEASE_BLOCKER fail. Cannot be overridden at engine level.</t>
  </si>
  <si>
    <t xml:space="preserve">G3</t>
  </si>
  <si>
    <t xml:space="preserve">Gate result written to project_stage_status</t>
  </si>
  <si>
    <t xml:space="preserve">DB Write</t>
  </si>
  <si>
    <t xml:space="preserve">engine_core._update_stage_status()</t>
  </si>
  <si>
    <t xml:space="preserve">UPSERT pattern: updates existing row or inserts new (project_id, stage) record. gate_result_json stores full snapshot for audit trail.</t>
  </si>
  <si>
    <t xml:space="preserve">── SECTION 4: SEVERITY HANDLING ──</t>
  </si>
  <si>
    <t xml:space="preserve">S1</t>
  </si>
  <si>
    <t xml:space="preserve">BLOCKER handling</t>
  </si>
  <si>
    <t xml:space="preserve">Severity</t>
  </si>
  <si>
    <t xml:space="preserve">severity_handler + blocker_registry</t>
  </si>
  <si>
    <t xml:space="preserve">Registered in blocker_registry. Causes gate_status=BLOCKED. Hard blocks S4/S5 progression.</t>
  </si>
  <si>
    <t xml:space="preserve">S2</t>
  </si>
  <si>
    <t xml:space="preserve">RELEASE_BLOCKER handling</t>
  </si>
  <si>
    <t xml:space="preserve">Same hard-block behavior as BLOCKER. Distinguished for reporting — marks issues that block release (IFC export / final submission) specifically.</t>
  </si>
  <si>
    <t xml:space="preserve">S3</t>
  </si>
  <si>
    <t xml:space="preserve">ERROR handling</t>
  </si>
  <si>
    <t xml:space="preserve">Counted in error_count. gate_status=OPEN (not hard-blocked). Flagged for user attention but does not block standard stage advancement.</t>
  </si>
  <si>
    <t xml:space="preserve">S4</t>
  </si>
  <si>
    <t xml:space="preserve">WARNING handling</t>
  </si>
  <si>
    <t xml:space="preserve">Counted in warning_count. Does not affect gate_status. Surfaced for advisory display only.</t>
  </si>
  <si>
    <t xml:space="preserve">S5</t>
  </si>
  <si>
    <t xml:space="preserve">INFO handling</t>
  </si>
  <si>
    <t xml:space="preserve">Tracked in severity_counts dict. No gate impact. Used for trace/diagnostic messages from layers.</t>
  </si>
  <si>
    <t xml:space="preserve">BLOCK 2 STATUS SUMMARY</t>
  </si>
  <si>
    <t xml:space="preserve">Total</t>
  </si>
  <si>
    <t xml:space="preserve">⚠️ Partial</t>
  </si>
  <si>
    <t xml:space="preserve">❌ Not Built</t>
  </si>
  <si>
    <t xml:space="preserve">🔁 In Progress</t>
  </si>
  <si>
    <t xml:space="preserve">🔒 Blocked</t>
  </si>
  <si>
    <t xml:space="preserve">Block Status</t>
  </si>
  <si>
    <t xml:space="preserve">Sign-off</t>
  </si>
  <si>
    <t xml:space="preserve">🟢 GREEN</t>
  </si>
  <si>
    <t xml:space="preserve">LANE 1 — BLOCK 2 │ SQLite Read / Write Dependency Matrix</t>
  </si>
  <si>
    <t xml:space="preserve">Maps engine modules to their DB tables and operations</t>
  </si>
  <si>
    <t xml:space="preserve">Module</t>
  </si>
  <si>
    <t xml:space="preserve">Table</t>
  </si>
  <si>
    <t xml:space="preserve">Operation</t>
  </si>
  <si>
    <t xml:space="preserve">Access Type</t>
  </si>
  <si>
    <t xml:space="preserve">Status</t>
  </si>
  <si>
    <t xml:space="preserve">Notes</t>
  </si>
  <si>
    <t xml:space="preserve">validation_rule_master</t>
  </si>
  <si>
    <t xml:space="preserve">SELECT</t>
  </si>
  <si>
    <t xml:space="preserve">READ</t>
  </si>
  <si>
    <t xml:space="preserve">Filters is_active=1, stage_scope. Orders by layer, severity.</t>
  </si>
  <si>
    <t xml:space="preserve">validation_result</t>
  </si>
  <si>
    <t xml:space="preserve">INSERT</t>
  </si>
  <si>
    <t xml:space="preserve">WRITE</t>
  </si>
  <si>
    <t xml:space="preserve">Writes one row per rule evaluated per run. run_id groups batch.</t>
  </si>
  <si>
    <t xml:space="preserve">project_stage_status</t>
  </si>
  <si>
    <t xml:space="preserve">INSERT / UPDATE</t>
  </si>
  <si>
    <t xml:space="preserve">UPSERT pattern by (project_id, stage). Stores gate_result_json snapshot.</t>
  </si>
  <si>
    <t xml:space="preserve">audit_event_log</t>
  </si>
  <si>
    <t xml:space="preserve">is_immutable=1; no UPDATE/DELETE permitted. Returns audit_id.</t>
  </si>
  <si>
    <t xml:space="preserve">project_master</t>
  </si>
  <si>
    <t xml:space="preserve">Validates project_id existence before run. FK cascade guard.</t>
  </si>
  <si>
    <t xml:space="preserve">—</t>
  </si>
  <si>
    <t xml:space="preserve">In-memory</t>
  </si>
  <si>
    <t xml:space="preserve">NONE</t>
  </si>
  <si>
    <t xml:space="preserve">Pure in-memory computation. No direct DB access. Receives data from rule_loader output.</t>
  </si>
  <si>
    <t xml:space="preserve">Accumulates fails in defaultdict. No DB I/O. Consumed by engine_core for gate update.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</si>
</sst>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sz val="9"/>
      <color rgb="FF4A4A4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5FA3"/>
        <bgColor rgb="FF3366FF"/>
      </patternFill>
    </fill>
    <fill>
      <patternFill patternType="solid">
        <fgColor rgb="FF4A4A4A"/>
        <bgColor rgb="FF1F3864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FFFFFF"/>
      </patternFill>
    </fill>
    <fill>
      <patternFill patternType="solid">
        <fgColor rgb="FFD9E1F2"/>
        <bgColor rgb="FFF5F5F5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2E5FA3"/>
      </left>
      <right/>
      <top style="thin">
        <color rgb="FF2E5FA3"/>
      </top>
      <bottom style="thin">
        <color rgb="FF2E5FA3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2E5FA3"/>
      </left>
      <right style="thin">
        <color rgb="FF2E5FA3"/>
      </right>
      <top style="thin">
        <color rgb="FF2E5FA3"/>
      </top>
      <bottom style="thin">
        <color rgb="FF2E5FA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5F5F5"/>
      <rgbColor rgb="FFCCFFFF"/>
      <rgbColor rgb="FF660066"/>
      <rgbColor rgb="FFFF8080"/>
      <rgbColor rgb="FF2E5FA3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A4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5" min="4" style="0" width="16"/>
    <col collapsed="false" customWidth="true" hidden="false" outlineLevel="0" max="6" min="6" style="0" width="22"/>
    <col collapsed="false" customWidth="true" hidden="false" outlineLevel="0" max="7" min="7" style="0" width="45"/>
    <col collapsed="false" customWidth="true" hidden="false" outlineLevel="0" max="8" min="8" style="0" width="26"/>
  </cols>
  <sheetData>
    <row r="1" customFormat="false" ht="7.5" hidden="false" customHeight="true" outlineLevel="0" collapsed="false"/>
    <row r="2" customFormat="false" ht="36" hidden="false" customHeight="true" outlineLevel="0" collapsed="false">
      <c r="A2" s="1" t="s">
        <v>0</v>
      </c>
      <c r="B2" s="1"/>
      <c r="C2" s="1"/>
      <c r="D2" s="1"/>
      <c r="E2" s="1"/>
      <c r="F2" s="1"/>
      <c r="G2" s="1"/>
      <c r="H2" s="1"/>
    </row>
    <row r="3" customFormat="false" ht="19.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</row>
    <row r="5" customFormat="false" ht="31.5" hidden="false" customHeight="true" outlineLevel="0" collapsed="false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  <c r="H5" s="4" t="s">
        <v>14</v>
      </c>
    </row>
    <row r="6" customFormat="false" ht="21.75" hidden="false" customHeight="true" outlineLevel="0" collapsed="false">
      <c r="A6" s="5" t="s">
        <v>15</v>
      </c>
      <c r="B6" s="5"/>
      <c r="C6" s="5"/>
      <c r="D6" s="5"/>
      <c r="E6" s="5"/>
      <c r="F6" s="5"/>
      <c r="G6" s="5"/>
      <c r="H6" s="5"/>
    </row>
    <row r="7" customFormat="false" ht="36" hidden="false" customHeight="true" outlineLevel="0" collapsed="false">
      <c r="A7" s="6" t="n">
        <v>1</v>
      </c>
      <c r="B7" s="7" t="s">
        <v>16</v>
      </c>
      <c r="C7" s="6" t="s">
        <v>17</v>
      </c>
      <c r="D7" s="6" t="s">
        <v>18</v>
      </c>
      <c r="E7" s="6" t="s">
        <v>19</v>
      </c>
      <c r="F7" s="7" t="s">
        <v>20</v>
      </c>
      <c r="G7" s="7" t="s">
        <v>21</v>
      </c>
      <c r="H7" s="7" t="s">
        <v>22</v>
      </c>
    </row>
    <row r="8" customFormat="false" ht="36" hidden="false" customHeight="true" outlineLevel="0" collapsed="false">
      <c r="A8" s="8" t="n">
        <v>2</v>
      </c>
      <c r="B8" s="9" t="s">
        <v>23</v>
      </c>
      <c r="C8" s="8" t="s">
        <v>24</v>
      </c>
      <c r="D8" s="8" t="s">
        <v>18</v>
      </c>
      <c r="E8" s="8" t="s">
        <v>19</v>
      </c>
      <c r="F8" s="9" t="s">
        <v>25</v>
      </c>
      <c r="G8" s="9" t="s">
        <v>26</v>
      </c>
      <c r="H8" s="9" t="s">
        <v>22</v>
      </c>
    </row>
    <row r="9" customFormat="false" ht="36" hidden="false" customHeight="true" outlineLevel="0" collapsed="false">
      <c r="A9" s="6" t="n">
        <v>3</v>
      </c>
      <c r="B9" s="7" t="s">
        <v>27</v>
      </c>
      <c r="C9" s="6" t="s">
        <v>28</v>
      </c>
      <c r="D9" s="6" t="s">
        <v>18</v>
      </c>
      <c r="E9" s="6" t="s">
        <v>19</v>
      </c>
      <c r="F9" s="7" t="s">
        <v>29</v>
      </c>
      <c r="G9" s="7" t="s">
        <v>30</v>
      </c>
      <c r="H9" s="7" t="s">
        <v>22</v>
      </c>
    </row>
    <row r="10" customFormat="false" ht="36" hidden="false" customHeight="true" outlineLevel="0" collapsed="false">
      <c r="A10" s="8" t="n">
        <v>4</v>
      </c>
      <c r="B10" s="9" t="s">
        <v>31</v>
      </c>
      <c r="C10" s="8" t="s">
        <v>32</v>
      </c>
      <c r="D10" s="8" t="s">
        <v>18</v>
      </c>
      <c r="E10" s="8" t="s">
        <v>19</v>
      </c>
      <c r="F10" s="9" t="s">
        <v>33</v>
      </c>
      <c r="G10" s="9" t="s">
        <v>34</v>
      </c>
      <c r="H10" s="9" t="s">
        <v>22</v>
      </c>
    </row>
    <row r="11" customFormat="false" ht="36" hidden="false" customHeight="true" outlineLevel="0" collapsed="false">
      <c r="A11" s="6" t="n">
        <v>5</v>
      </c>
      <c r="B11" s="7" t="s">
        <v>35</v>
      </c>
      <c r="C11" s="6" t="s">
        <v>36</v>
      </c>
      <c r="D11" s="6" t="s">
        <v>18</v>
      </c>
      <c r="E11" s="6" t="s">
        <v>19</v>
      </c>
      <c r="F11" s="7" t="s">
        <v>37</v>
      </c>
      <c r="G11" s="7" t="s">
        <v>38</v>
      </c>
      <c r="H11" s="7" t="s">
        <v>22</v>
      </c>
    </row>
    <row r="12" customFormat="false" ht="21.75" hidden="false" customHeight="true" outlineLevel="0" collapsed="false">
      <c r="A12" s="5" t="s">
        <v>39</v>
      </c>
      <c r="B12" s="5"/>
      <c r="C12" s="5"/>
      <c r="D12" s="5"/>
      <c r="E12" s="5"/>
      <c r="F12" s="5"/>
      <c r="G12" s="5"/>
      <c r="H12" s="5"/>
    </row>
    <row r="13" customFormat="false" ht="36" hidden="false" customHeight="true" outlineLevel="0" collapsed="false">
      <c r="A13" s="8" t="s">
        <v>40</v>
      </c>
      <c r="B13" s="9" t="s">
        <v>41</v>
      </c>
      <c r="C13" s="8" t="s">
        <v>42</v>
      </c>
      <c r="D13" s="8" t="s">
        <v>18</v>
      </c>
      <c r="E13" s="8" t="s">
        <v>19</v>
      </c>
      <c r="F13" s="9" t="s">
        <v>43</v>
      </c>
      <c r="G13" s="9" t="s">
        <v>44</v>
      </c>
      <c r="H13" s="9" t="s">
        <v>22</v>
      </c>
    </row>
    <row r="14" customFormat="false" ht="36" hidden="false" customHeight="true" outlineLevel="0" collapsed="false">
      <c r="A14" s="6" t="s">
        <v>45</v>
      </c>
      <c r="B14" s="7" t="s">
        <v>46</v>
      </c>
      <c r="C14" s="6" t="s">
        <v>42</v>
      </c>
      <c r="D14" s="6" t="s">
        <v>18</v>
      </c>
      <c r="E14" s="6" t="s">
        <v>19</v>
      </c>
      <c r="F14" s="7" t="s">
        <v>47</v>
      </c>
      <c r="G14" s="7" t="s">
        <v>48</v>
      </c>
      <c r="H14" s="7" t="s">
        <v>22</v>
      </c>
    </row>
    <row r="15" customFormat="false" ht="21.75" hidden="false" customHeight="true" outlineLevel="0" collapsed="false">
      <c r="A15" s="5" t="s">
        <v>49</v>
      </c>
      <c r="B15" s="5"/>
      <c r="C15" s="5"/>
      <c r="D15" s="5"/>
      <c r="E15" s="5"/>
      <c r="F15" s="5"/>
      <c r="G15" s="5"/>
      <c r="H15" s="5"/>
    </row>
    <row r="16" customFormat="false" ht="36" hidden="false" customHeight="true" outlineLevel="0" collapsed="false">
      <c r="A16" s="8" t="s">
        <v>50</v>
      </c>
      <c r="B16" s="9" t="s">
        <v>51</v>
      </c>
      <c r="C16" s="8" t="s">
        <v>28</v>
      </c>
      <c r="D16" s="8" t="s">
        <v>18</v>
      </c>
      <c r="E16" s="8" t="s">
        <v>52</v>
      </c>
      <c r="F16" s="9" t="s">
        <v>53</v>
      </c>
      <c r="G16" s="9" t="s">
        <v>54</v>
      </c>
      <c r="H16" s="9" t="s">
        <v>22</v>
      </c>
    </row>
    <row r="17" customFormat="false" ht="36" hidden="false" customHeight="true" outlineLevel="0" collapsed="false">
      <c r="A17" s="6" t="s">
        <v>55</v>
      </c>
      <c r="B17" s="7" t="s">
        <v>56</v>
      </c>
      <c r="C17" s="6" t="s">
        <v>28</v>
      </c>
      <c r="D17" s="6" t="s">
        <v>18</v>
      </c>
      <c r="E17" s="6" t="s">
        <v>52</v>
      </c>
      <c r="F17" s="7" t="s">
        <v>57</v>
      </c>
      <c r="G17" s="7" t="s">
        <v>58</v>
      </c>
      <c r="H17" s="7" t="s">
        <v>22</v>
      </c>
    </row>
    <row r="18" customFormat="false" ht="36" hidden="false" customHeight="true" outlineLevel="0" collapsed="false">
      <c r="A18" s="8" t="s">
        <v>59</v>
      </c>
      <c r="B18" s="9" t="s">
        <v>60</v>
      </c>
      <c r="C18" s="8" t="s">
        <v>61</v>
      </c>
      <c r="D18" s="8" t="s">
        <v>18</v>
      </c>
      <c r="E18" s="8" t="s">
        <v>19</v>
      </c>
      <c r="F18" s="9" t="s">
        <v>62</v>
      </c>
      <c r="G18" s="9" t="s">
        <v>63</v>
      </c>
      <c r="H18" s="9" t="s">
        <v>22</v>
      </c>
    </row>
    <row r="19" customFormat="false" ht="21.75" hidden="false" customHeight="true" outlineLevel="0" collapsed="false">
      <c r="A19" s="5" t="s">
        <v>64</v>
      </c>
      <c r="B19" s="5"/>
      <c r="C19" s="5"/>
      <c r="D19" s="5"/>
      <c r="E19" s="5"/>
      <c r="F19" s="5"/>
      <c r="G19" s="5"/>
      <c r="H19" s="5"/>
    </row>
    <row r="20" customFormat="false" ht="36" hidden="false" customHeight="true" outlineLevel="0" collapsed="false">
      <c r="A20" s="6" t="s">
        <v>65</v>
      </c>
      <c r="B20" s="7" t="s">
        <v>66</v>
      </c>
      <c r="C20" s="6" t="s">
        <v>67</v>
      </c>
      <c r="D20" s="6" t="s">
        <v>18</v>
      </c>
      <c r="E20" s="6" t="s">
        <v>19</v>
      </c>
      <c r="F20" s="7" t="s">
        <v>68</v>
      </c>
      <c r="G20" s="7" t="s">
        <v>69</v>
      </c>
      <c r="H20" s="7" t="s">
        <v>22</v>
      </c>
    </row>
    <row r="21" customFormat="false" ht="36" hidden="false" customHeight="true" outlineLevel="0" collapsed="false">
      <c r="A21" s="8" t="s">
        <v>70</v>
      </c>
      <c r="B21" s="9" t="s">
        <v>71</v>
      </c>
      <c r="C21" s="8" t="s">
        <v>67</v>
      </c>
      <c r="D21" s="8" t="s">
        <v>18</v>
      </c>
      <c r="E21" s="8" t="s">
        <v>19</v>
      </c>
      <c r="F21" s="9" t="s">
        <v>68</v>
      </c>
      <c r="G21" s="9" t="s">
        <v>72</v>
      </c>
      <c r="H21" s="9" t="s">
        <v>22</v>
      </c>
    </row>
    <row r="22" customFormat="false" ht="36" hidden="false" customHeight="true" outlineLevel="0" collapsed="false">
      <c r="A22" s="6" t="s">
        <v>73</v>
      </c>
      <c r="B22" s="7" t="s">
        <v>74</v>
      </c>
      <c r="C22" s="6" t="s">
        <v>67</v>
      </c>
      <c r="D22" s="6" t="s">
        <v>18</v>
      </c>
      <c r="E22" s="6" t="s">
        <v>19</v>
      </c>
      <c r="F22" s="7" t="s">
        <v>27</v>
      </c>
      <c r="G22" s="7" t="s">
        <v>75</v>
      </c>
      <c r="H22" s="7" t="s">
        <v>22</v>
      </c>
    </row>
    <row r="23" customFormat="false" ht="36" hidden="false" customHeight="true" outlineLevel="0" collapsed="false">
      <c r="A23" s="8" t="s">
        <v>76</v>
      </c>
      <c r="B23" s="9" t="s">
        <v>77</v>
      </c>
      <c r="C23" s="8" t="s">
        <v>67</v>
      </c>
      <c r="D23" s="8" t="s">
        <v>18</v>
      </c>
      <c r="E23" s="8" t="s">
        <v>19</v>
      </c>
      <c r="F23" s="9" t="s">
        <v>27</v>
      </c>
      <c r="G23" s="9" t="s">
        <v>78</v>
      </c>
      <c r="H23" s="9" t="s">
        <v>22</v>
      </c>
    </row>
    <row r="24" customFormat="false" ht="36" hidden="false" customHeight="true" outlineLevel="0" collapsed="false">
      <c r="A24" s="6" t="s">
        <v>79</v>
      </c>
      <c r="B24" s="7" t="s">
        <v>80</v>
      </c>
      <c r="C24" s="6" t="s">
        <v>67</v>
      </c>
      <c r="D24" s="6" t="s">
        <v>18</v>
      </c>
      <c r="E24" s="6" t="s">
        <v>52</v>
      </c>
      <c r="F24" s="7" t="s">
        <v>27</v>
      </c>
      <c r="G24" s="7" t="s">
        <v>81</v>
      </c>
      <c r="H24" s="7" t="s">
        <v>22</v>
      </c>
    </row>
    <row r="26" customFormat="false" ht="15" hidden="false" customHeight="false" outlineLevel="0" collapsed="false">
      <c r="A26" s="10" t="s">
        <v>82</v>
      </c>
      <c r="B26" s="10"/>
      <c r="C26" s="10"/>
      <c r="D26" s="10"/>
      <c r="E26" s="10"/>
      <c r="F26" s="10"/>
      <c r="G26" s="10"/>
      <c r="H26" s="10"/>
    </row>
    <row r="27" customFormat="false" ht="15" hidden="false" customHeight="false" outlineLevel="0" collapsed="false">
      <c r="A27" s="11" t="s">
        <v>83</v>
      </c>
      <c r="B27" s="11" t="s">
        <v>18</v>
      </c>
      <c r="C27" s="11" t="s">
        <v>84</v>
      </c>
      <c r="D27" s="11" t="s">
        <v>85</v>
      </c>
      <c r="E27" s="11" t="s">
        <v>86</v>
      </c>
      <c r="F27" s="11" t="s">
        <v>87</v>
      </c>
      <c r="G27" s="11" t="s">
        <v>88</v>
      </c>
      <c r="H27" s="11" t="s">
        <v>89</v>
      </c>
    </row>
    <row r="28" customFormat="false" ht="15" hidden="false" customHeight="false" outlineLevel="0" collapsed="false">
      <c r="A28" s="12" t="n">
        <v>15</v>
      </c>
      <c r="B28" s="12" t="n">
        <f aca="false">COUNTIF(D6:D24,"✅ Complete")</f>
        <v>15</v>
      </c>
      <c r="C28" s="12" t="n">
        <f aca="false">COUNTIF(D6:D24,"⚠️ Partial")</f>
        <v>0</v>
      </c>
      <c r="D28" s="12" t="n">
        <f aca="false">COUNTIF(D6:D24,"❌ Not Built")</f>
        <v>0</v>
      </c>
      <c r="E28" s="12" t="n">
        <f aca="false">COUNTIF(D6:D24,"🔁 In Progress")</f>
        <v>0</v>
      </c>
      <c r="F28" s="12" t="n">
        <f aca="false">COUNTIF(D6:D24,"🔒 Blocked")</f>
        <v>0</v>
      </c>
      <c r="G28" s="12" t="s">
        <v>90</v>
      </c>
      <c r="H28" s="12" t="s">
        <v>3</v>
      </c>
    </row>
  </sheetData>
  <mergeCells count="7">
    <mergeCell ref="A2:H2"/>
    <mergeCell ref="A3:H3"/>
    <mergeCell ref="A6:H6"/>
    <mergeCell ref="A12:H12"/>
    <mergeCell ref="A15:H15"/>
    <mergeCell ref="A19:H19"/>
    <mergeCell ref="A26:H26"/>
  </mergeCells>
  <dataValidations count="2">
    <dataValidation allowBlank="true" errorStyle="stop" operator="between" showDropDown="false" showErrorMessage="false" showInputMessage="false" sqref="D7:D11 D13:D14 D16:D18 D20:D24" type="list">
      <formula1>"✅ Complete,⚠️ Partial,❌ Not Built,🔁 In Progress,🔒 Blocked,N/A"</formula1>
      <formula2>0</formula2>
    </dataValidation>
    <dataValidation allowBlank="true" errorStyle="stop" operator="between" showDropDown="false" showErrorMessage="false" showInputMessage="false" sqref="E7:E11 E13:E14 E16:E18 E20:E24" type="list">
      <formula1>"✅ Verified,⚠️ Needs Review,❌ Failed,N/A"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4" min="3" style="0" width="20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40"/>
    <col collapsed="false" customWidth="true" hidden="false" outlineLevel="0" max="8" min="8" style="0" width="22"/>
  </cols>
  <sheetData>
    <row r="2" customFormat="false" ht="36" hidden="false" customHeight="true" outlineLevel="0" collapsed="false">
      <c r="A2" s="1" t="s">
        <v>91</v>
      </c>
      <c r="B2" s="1"/>
      <c r="C2" s="1"/>
      <c r="D2" s="1"/>
      <c r="E2" s="1"/>
      <c r="F2" s="1"/>
      <c r="G2" s="1"/>
      <c r="H2" s="1"/>
    </row>
    <row r="3" customFormat="false" ht="19.5" hidden="false" customHeight="true" outlineLevel="0" collapsed="false">
      <c r="A3" s="2" t="s">
        <v>92</v>
      </c>
      <c r="B3" s="2"/>
      <c r="C3" s="2"/>
      <c r="D3" s="2"/>
      <c r="E3" s="2"/>
      <c r="F3" s="2"/>
      <c r="G3" s="2"/>
      <c r="H3" s="2"/>
    </row>
    <row r="5" customFormat="false" ht="31.5" hidden="false" customHeight="true" outlineLevel="0" collapsed="false">
      <c r="A5" s="4" t="s">
        <v>7</v>
      </c>
      <c r="B5" s="4" t="s">
        <v>93</v>
      </c>
      <c r="C5" s="4" t="s">
        <v>94</v>
      </c>
      <c r="D5" s="4" t="s">
        <v>95</v>
      </c>
      <c r="E5" s="4" t="s">
        <v>96</v>
      </c>
      <c r="F5" s="4" t="s">
        <v>97</v>
      </c>
      <c r="G5" s="4" t="s">
        <v>98</v>
      </c>
      <c r="H5" s="4" t="s">
        <v>14</v>
      </c>
    </row>
    <row r="6" customFormat="false" ht="30" hidden="false" customHeight="true" outlineLevel="0" collapsed="false">
      <c r="A6" s="8" t="n">
        <v>1</v>
      </c>
      <c r="B6" s="9" t="s">
        <v>23</v>
      </c>
      <c r="C6" s="8" t="s">
        <v>99</v>
      </c>
      <c r="D6" s="8" t="s">
        <v>100</v>
      </c>
      <c r="E6" s="8" t="s">
        <v>101</v>
      </c>
      <c r="F6" s="8" t="s">
        <v>19</v>
      </c>
      <c r="G6" s="9" t="s">
        <v>102</v>
      </c>
      <c r="H6" s="9" t="s">
        <v>22</v>
      </c>
    </row>
    <row r="7" customFormat="false" ht="30" hidden="false" customHeight="true" outlineLevel="0" collapsed="false">
      <c r="A7" s="6" t="n">
        <v>2</v>
      </c>
      <c r="B7" s="7" t="s">
        <v>16</v>
      </c>
      <c r="C7" s="6" t="s">
        <v>103</v>
      </c>
      <c r="D7" s="6" t="s">
        <v>104</v>
      </c>
      <c r="E7" s="6" t="s">
        <v>105</v>
      </c>
      <c r="F7" s="6" t="s">
        <v>19</v>
      </c>
      <c r="G7" s="7" t="s">
        <v>106</v>
      </c>
      <c r="H7" s="7" t="s">
        <v>22</v>
      </c>
    </row>
    <row r="8" customFormat="false" ht="30" hidden="false" customHeight="true" outlineLevel="0" collapsed="false">
      <c r="A8" s="8" t="n">
        <v>3</v>
      </c>
      <c r="B8" s="9" t="s">
        <v>16</v>
      </c>
      <c r="C8" s="8" t="s">
        <v>107</v>
      </c>
      <c r="D8" s="8" t="s">
        <v>108</v>
      </c>
      <c r="E8" s="8" t="s">
        <v>105</v>
      </c>
      <c r="F8" s="8" t="s">
        <v>19</v>
      </c>
      <c r="G8" s="9" t="s">
        <v>109</v>
      </c>
      <c r="H8" s="9" t="s">
        <v>22</v>
      </c>
    </row>
    <row r="9" customFormat="false" ht="30" hidden="false" customHeight="true" outlineLevel="0" collapsed="false">
      <c r="A9" s="6" t="n">
        <v>4</v>
      </c>
      <c r="B9" s="7" t="s">
        <v>35</v>
      </c>
      <c r="C9" s="6" t="s">
        <v>110</v>
      </c>
      <c r="D9" s="6" t="s">
        <v>104</v>
      </c>
      <c r="E9" s="6" t="s">
        <v>105</v>
      </c>
      <c r="F9" s="6" t="s">
        <v>19</v>
      </c>
      <c r="G9" s="7" t="s">
        <v>111</v>
      </c>
      <c r="H9" s="7" t="s">
        <v>22</v>
      </c>
    </row>
    <row r="10" customFormat="false" ht="30" hidden="false" customHeight="true" outlineLevel="0" collapsed="false">
      <c r="A10" s="8" t="n">
        <v>5</v>
      </c>
      <c r="B10" s="9" t="s">
        <v>16</v>
      </c>
      <c r="C10" s="8" t="s">
        <v>112</v>
      </c>
      <c r="D10" s="8" t="s">
        <v>100</v>
      </c>
      <c r="E10" s="8" t="s">
        <v>101</v>
      </c>
      <c r="F10" s="8" t="s">
        <v>19</v>
      </c>
      <c r="G10" s="9" t="s">
        <v>113</v>
      </c>
      <c r="H10" s="9" t="s">
        <v>22</v>
      </c>
    </row>
    <row r="11" customFormat="false" ht="30" hidden="false" customHeight="true" outlineLevel="0" collapsed="false">
      <c r="A11" s="6" t="n">
        <v>6</v>
      </c>
      <c r="B11" s="7" t="s">
        <v>27</v>
      </c>
      <c r="C11" s="6" t="s">
        <v>114</v>
      </c>
      <c r="D11" s="6" t="s">
        <v>115</v>
      </c>
      <c r="E11" s="6" t="s">
        <v>116</v>
      </c>
      <c r="F11" s="6" t="s">
        <v>19</v>
      </c>
      <c r="G11" s="7" t="s">
        <v>117</v>
      </c>
      <c r="H11" s="7" t="s">
        <v>22</v>
      </c>
    </row>
    <row r="12" customFormat="false" ht="30" hidden="false" customHeight="true" outlineLevel="0" collapsed="false">
      <c r="A12" s="8" t="n">
        <v>7</v>
      </c>
      <c r="B12" s="9" t="s">
        <v>31</v>
      </c>
      <c r="C12" s="8" t="s">
        <v>114</v>
      </c>
      <c r="D12" s="8" t="s">
        <v>115</v>
      </c>
      <c r="E12" s="8" t="s">
        <v>116</v>
      </c>
      <c r="F12" s="8" t="s">
        <v>19</v>
      </c>
      <c r="G12" s="9" t="s">
        <v>118</v>
      </c>
      <c r="H12" s="9" t="s">
        <v>22</v>
      </c>
    </row>
  </sheetData>
  <mergeCells count="2">
    <mergeCell ref="A2:H2"/>
    <mergeCell ref="A3:H3"/>
  </mergeCells>
  <dataValidations count="1">
    <dataValidation allowBlank="true" errorStyle="stop" operator="between" showDropDown="false" showErrorMessage="false" showInputMessage="false" sqref="F6:F12" type="list">
      <formula1>"✅ Verified,⚠️ Needs Review,❌ Failed,N/A"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2026-04-27T06:41:56Z</dcterms:created>
  <dc:creator>openpyxl</dc:creator>
  <dc:description/>
  <dc:language>en-US</dc:language>
  <cp:lastModifiedBy/>
  <dcterms:modified xsi:type="dcterms:W3CDTF">2026-04-27T06:41:56Z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