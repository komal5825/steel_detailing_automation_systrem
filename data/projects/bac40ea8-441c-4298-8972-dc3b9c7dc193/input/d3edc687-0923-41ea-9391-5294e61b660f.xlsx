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posals\C07-117-Malegoan(Nashik)\R1\"/>
    </mc:Choice>
  </mc:AlternateContent>
  <bookViews>
    <workbookView xWindow="0" yWindow="0" windowWidth="16380" windowHeight="8190" tabRatio="500"/>
  </bookViews>
  <sheets>
    <sheet name="PEB-Estimates" sheetId="1" r:id="rId1"/>
    <sheet name="PEB-Estimates-Mezz" sheetId="2" state="hidden" r:id="rId2"/>
  </sheets>
  <definedNames>
    <definedName name="___xlfn_IFERROR">NA()</definedName>
    <definedName name="__xlfn_IFERROR">NA()</definedName>
    <definedName name="_xlnm._FilterDatabase" localSheetId="0" hidden="1">'PEB-Estimates'!$C$10:$E$69</definedName>
    <definedName name="_xlnm._FilterDatabase" localSheetId="1" hidden="1">'PEB-Estimates-Mezz'!$C$10:$E$10</definedName>
    <definedName name="_FilterDatabase_0" localSheetId="0">'PEB-Estimates'!$C$10:$E$10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9" i="2" l="1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B8" i="2" s="1"/>
  <c r="C8" i="2" s="1"/>
  <c r="F45" i="2"/>
  <c r="F43" i="2"/>
  <c r="F42" i="2"/>
  <c r="F41" i="2"/>
  <c r="F40" i="2"/>
  <c r="F39" i="2"/>
  <c r="F38" i="2"/>
  <c r="F37" i="2"/>
  <c r="B7" i="2" s="1"/>
  <c r="C7" i="2" s="1"/>
  <c r="F35" i="2"/>
  <c r="F36" i="2" s="1"/>
  <c r="F34" i="2"/>
  <c r="F33" i="2"/>
  <c r="F32" i="2"/>
  <c r="F31" i="2"/>
  <c r="F30" i="2"/>
  <c r="F29" i="2"/>
  <c r="F28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27" i="2" s="1"/>
  <c r="C5" i="2" s="1"/>
  <c r="F8" i="2" s="1"/>
  <c r="F9" i="2" s="1"/>
  <c r="B9" i="2"/>
  <c r="C9" i="2" s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B9" i="1" s="1"/>
  <c r="C9" i="1" s="1"/>
  <c r="F53" i="1"/>
  <c r="F52" i="1"/>
  <c r="F51" i="1"/>
  <c r="F50" i="1"/>
  <c r="F49" i="1"/>
  <c r="F48" i="1"/>
  <c r="F47" i="1"/>
  <c r="F46" i="1"/>
  <c r="B8" i="1" s="1"/>
  <c r="C8" i="1" s="1"/>
  <c r="F45" i="1"/>
  <c r="F43" i="1"/>
  <c r="F42" i="1"/>
  <c r="F41" i="1"/>
  <c r="E41" i="1"/>
  <c r="F40" i="1"/>
  <c r="F39" i="1"/>
  <c r="F38" i="1"/>
  <c r="E37" i="1"/>
  <c r="F37" i="1" s="1"/>
  <c r="B7" i="1" s="1"/>
  <c r="C7" i="1" s="1"/>
  <c r="F35" i="1"/>
  <c r="F34" i="1"/>
  <c r="F33" i="1"/>
  <c r="F32" i="1"/>
  <c r="F31" i="1"/>
  <c r="F30" i="1"/>
  <c r="F29" i="1"/>
  <c r="E28" i="1"/>
  <c r="F28" i="1" s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E11" i="1"/>
  <c r="F11" i="1" s="1"/>
  <c r="F27" i="1" l="1"/>
  <c r="C5" i="1" s="1"/>
  <c r="F8" i="1" s="1"/>
  <c r="F9" i="1" s="1"/>
  <c r="B6" i="1"/>
  <c r="C6" i="1" s="1"/>
  <c r="B6" i="2"/>
  <c r="C6" i="2" s="1"/>
</calcChain>
</file>

<file path=xl/comments1.xml><?xml version="1.0" encoding="utf-8"?>
<comments xmlns="http://schemas.openxmlformats.org/spreadsheetml/2006/main">
  <authors>
    <author/>
  </authors>
  <commentList>
    <comment ref="E43" authorId="0" shape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>Coil width of 1220 mm considered.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43" authorId="0" shapeId="0">
      <text>
        <r>
          <rPr>
            <sz val="11"/>
            <color rgb="FF000000"/>
            <rFont val="Calibri"/>
            <family val="2"/>
            <charset val="1"/>
          </rPr>
          <t xml:space="preserve">Design:
</t>
        </r>
        <r>
          <rPr>
            <sz val="9"/>
            <color rgb="FF000000"/>
            <rFont val="Tahoma"/>
            <family val="2"/>
            <charset val="1"/>
          </rPr>
          <t>Coil width of 1220 mm considered.</t>
        </r>
      </text>
    </comment>
  </commentList>
</comments>
</file>

<file path=xl/sharedStrings.xml><?xml version="1.0" encoding="utf-8"?>
<sst xmlns="http://schemas.openxmlformats.org/spreadsheetml/2006/main" count="267" uniqueCount="104">
  <si>
    <t>C007-117</t>
  </si>
  <si>
    <t>Date:</t>
  </si>
  <si>
    <t xml:space="preserve">Location: </t>
  </si>
  <si>
    <t>Malegaon</t>
  </si>
  <si>
    <t>Designed by:</t>
  </si>
  <si>
    <t>AAB</t>
  </si>
  <si>
    <t xml:space="preserve">Building: </t>
  </si>
  <si>
    <t>Checked by:</t>
  </si>
  <si>
    <t>VVJ</t>
  </si>
  <si>
    <t xml:space="preserve">Option:  </t>
  </si>
  <si>
    <t>Revision:</t>
  </si>
  <si>
    <t xml:space="preserve">Total Weight in kg: </t>
  </si>
  <si>
    <t xml:space="preserve">Primary </t>
  </si>
  <si>
    <t>Kg</t>
  </si>
  <si>
    <t>Eave Height</t>
  </si>
  <si>
    <t>Secondary</t>
  </si>
  <si>
    <t>Area</t>
  </si>
  <si>
    <t>Sheeting</t>
  </si>
  <si>
    <t>Density(kg/m2)</t>
  </si>
  <si>
    <t>Accessories</t>
  </si>
  <si>
    <t>Density(kg/m3)</t>
  </si>
  <si>
    <t>Description</t>
  </si>
  <si>
    <t>Quantity</t>
  </si>
  <si>
    <t>Unit</t>
  </si>
  <si>
    <t>Unit Wt.</t>
  </si>
  <si>
    <t>Weight (kg)</t>
  </si>
  <si>
    <t>Primary Steel</t>
  </si>
  <si>
    <t>Nos.</t>
  </si>
  <si>
    <t>Rigid Frame (Built-up I-Section) Intermediate frames</t>
  </si>
  <si>
    <t xml:space="preserve"> Endwall frames</t>
  </si>
  <si>
    <t xml:space="preserve">Partition column sets </t>
  </si>
  <si>
    <t>Strut/Tie members</t>
  </si>
  <si>
    <t>m</t>
  </si>
  <si>
    <t>Canopy rafters</t>
  </si>
  <si>
    <t>Eave extension rafters</t>
  </si>
  <si>
    <t>Roof monitor (Built-up I-Section) frames</t>
  </si>
  <si>
    <t>Backup beams &amp; Kicker members</t>
  </si>
  <si>
    <t>Portal bracing (Built-up I-Section)</t>
  </si>
  <si>
    <t>Mezzanine assembly (Built-up I-Section)</t>
  </si>
  <si>
    <t>Jack beam</t>
  </si>
  <si>
    <t>Crane brackets (Built-up I-Section)</t>
  </si>
  <si>
    <t>Crane beam (Built-up I-Section)</t>
  </si>
  <si>
    <t>Crane beam supports (Kicker angles, stopper, etc.)</t>
  </si>
  <si>
    <t>Walkways &amp; Handrail</t>
  </si>
  <si>
    <t>Endplate Connections (% of frame weight)</t>
  </si>
  <si>
    <t xml:space="preserve">Crane beam </t>
  </si>
  <si>
    <t>Angle Bracing</t>
  </si>
  <si>
    <t xml:space="preserve">Mezzanine/ Crane Bracing @wall </t>
  </si>
  <si>
    <t>Chequered plates</t>
  </si>
  <si>
    <t>sq m</t>
  </si>
  <si>
    <t>Anchor Bolts @ rigid frame</t>
  </si>
  <si>
    <t xml:space="preserve">Anchor Bolts </t>
  </si>
  <si>
    <t>Flange Brace Connection (% of flange brace wt.)</t>
  </si>
  <si>
    <t>Connection Bolt</t>
  </si>
  <si>
    <t>Hot Rolled</t>
  </si>
  <si>
    <t>Canopy Soffit secondary</t>
  </si>
  <si>
    <t>Roof monitor secondary</t>
  </si>
  <si>
    <t>Header arrangement of Valley gutter</t>
  </si>
  <si>
    <t>Secondary Steel</t>
  </si>
  <si>
    <t>Mezzanine edge angles</t>
  </si>
  <si>
    <t xml:space="preserve">Roof  Sheeting </t>
  </si>
  <si>
    <t>Roof  Sheeting (Standing Seam panels)</t>
  </si>
  <si>
    <t xml:space="preserve">Wall Sheeting </t>
  </si>
  <si>
    <t>Partition sheeting</t>
  </si>
  <si>
    <t>Facia sheeting</t>
  </si>
  <si>
    <t>Other sheeting Accessories</t>
  </si>
  <si>
    <t>Roof monitor sheeting</t>
  </si>
  <si>
    <t>Deck Sheeting</t>
  </si>
  <si>
    <t>Eave gutter</t>
  </si>
  <si>
    <t>Valley gutter</t>
  </si>
  <si>
    <t>Liner panels</t>
  </si>
  <si>
    <t>Standard trims</t>
  </si>
  <si>
    <t>Cage ladder</t>
  </si>
  <si>
    <t>Cable bracket</t>
  </si>
  <si>
    <t>Double sliding door (5.0 X 5.0)</t>
  </si>
  <si>
    <t>m2</t>
  </si>
  <si>
    <t xml:space="preserve">Roll up door </t>
  </si>
  <si>
    <t>SKY light (3.25 x 1.0m)</t>
  </si>
  <si>
    <t xml:space="preserve">Turbo-vent 600 mm dia. </t>
  </si>
  <si>
    <t>External Cage ladder using angles</t>
  </si>
  <si>
    <t>Internal Cage ladder using ISMC sections</t>
  </si>
  <si>
    <t>Ridge vent(0.6m wide throat )</t>
  </si>
  <si>
    <t>Staircase</t>
  </si>
  <si>
    <t>Bird mesh</t>
  </si>
  <si>
    <t>Louvers / Windows</t>
  </si>
  <si>
    <t>Puff panels</t>
  </si>
  <si>
    <t>Insulation sheets</t>
  </si>
  <si>
    <t>Hand rail (Standard)</t>
  </si>
  <si>
    <t>Cnnn-xxx</t>
  </si>
  <si>
    <t>Kg/m2</t>
  </si>
  <si>
    <t>Primary Built-up I-Section</t>
  </si>
  <si>
    <t xml:space="preserve"> Bracing @wall &amp; roof</t>
  </si>
  <si>
    <t>Connection bolts &amp; accessories</t>
  </si>
  <si>
    <t>No of Cleats</t>
  </si>
  <si>
    <t>Flange Brace angles - 1000mm (Length)</t>
  </si>
  <si>
    <t>Joist, Purlins, Girts &amp; Eave struts</t>
  </si>
  <si>
    <t>Header &amp; Jambs for opennings</t>
  </si>
  <si>
    <t>Roof  Sheeting (Aluzinc coated steel panels)</t>
  </si>
  <si>
    <t>Wall Sheeting (Aluzinc coated steel panels)</t>
  </si>
  <si>
    <t>Canopy Sheeting (Aluzinc coated steel panels)</t>
  </si>
  <si>
    <t>Deck Sheeting (0.7mm thick)</t>
  </si>
  <si>
    <t>Special trims</t>
  </si>
  <si>
    <t>Eave &amp; Gable angles</t>
  </si>
  <si>
    <t>Wall light (3.25 x 1.0m)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</si>
</sst>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\-??_);_(@_)"/>
    <numFmt numFmtId="165" formatCode="[$-F800]dddd&quot;, &quot;mmmm\ dd&quot;, &quot;yyyy"/>
  </numFmts>
  <fonts count="1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1"/>
    </font>
    <font>
      <b/>
      <sz val="12.5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12.5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CC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4" fontId="11" fillId="0" borderId="0" applyBorder="0" applyProtection="0"/>
    <xf numFmtId="9" fontId="11" fillId="0" borderId="0" applyBorder="0" applyProtection="0"/>
    <xf numFmtId="164" fontId="1" fillId="0" borderId="0" applyBorder="0" applyProtection="0"/>
    <xf numFmtId="0" fontId="2" fillId="0" borderId="0"/>
    <xf numFmtId="0" fontId="1" fillId="0" borderId="0"/>
    <xf numFmtId="9" fontId="1" fillId="0" borderId="0" applyBorder="0" applyProtection="0"/>
    <xf numFmtId="0" fontId="11" fillId="2" borderId="1" applyProtection="0"/>
  </cellStyleXfs>
  <cellXfs count="35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1" fontId="0" fillId="0" borderId="2" xfId="0" applyNumberFormat="1" applyFont="1" applyBorder="1" applyAlignment="1">
      <alignment vertical="center"/>
    </xf>
    <xf numFmtId="165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left" vertical="center"/>
    </xf>
    <xf numFmtId="1" fontId="0" fillId="0" borderId="2" xfId="0" applyNumberFormat="1" applyBorder="1" applyAlignment="1">
      <alignment vertical="center"/>
    </xf>
    <xf numFmtId="2" fontId="6" fillId="0" borderId="2" xfId="0" applyNumberFormat="1" applyFont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left" vertical="center"/>
    </xf>
    <xf numFmtId="1" fontId="0" fillId="5" borderId="2" xfId="7" applyNumberFormat="1" applyFont="1" applyFill="1" applyBorder="1" applyAlignment="1" applyProtection="1">
      <alignment horizontal="center" vertical="center"/>
      <protection locked="0"/>
    </xf>
    <xf numFmtId="1" fontId="0" fillId="0" borderId="2" xfId="7" applyNumberFormat="1" applyFont="1" applyFill="1" applyBorder="1" applyAlignment="1" applyProtection="1">
      <alignment horizontal="center" vertical="center"/>
    </xf>
    <xf numFmtId="1" fontId="0" fillId="0" borderId="2" xfId="1" applyNumberFormat="1" applyFont="1" applyBorder="1" applyAlignment="1" applyProtection="1">
      <alignment vertical="center"/>
    </xf>
    <xf numFmtId="0" fontId="0" fillId="0" borderId="0" xfId="7" applyFont="1" applyFill="1" applyBorder="1" applyAlignment="1" applyProtection="1">
      <alignment vertical="center"/>
    </xf>
    <xf numFmtId="9" fontId="0" fillId="5" borderId="2" xfId="7" applyNumberFormat="1" applyFont="1" applyFill="1" applyBorder="1" applyAlignment="1" applyProtection="1">
      <alignment horizontal="center" vertical="center"/>
      <protection locked="0"/>
    </xf>
    <xf numFmtId="1" fontId="0" fillId="5" borderId="2" xfId="0" applyNumberFormat="1" applyFont="1" applyFill="1" applyBorder="1" applyAlignment="1" applyProtection="1">
      <alignment horizontal="center" vertical="center"/>
      <protection locked="0"/>
    </xf>
    <xf numFmtId="1" fontId="0" fillId="6" borderId="2" xfId="7" applyNumberFormat="1" applyFont="1" applyFill="1" applyBorder="1" applyAlignment="1" applyProtection="1">
      <alignment horizontal="center" vertical="center"/>
    </xf>
    <xf numFmtId="2" fontId="0" fillId="5" borderId="2" xfId="0" applyNumberFormat="1" applyFont="1" applyFill="1" applyBorder="1" applyAlignment="1" applyProtection="1">
      <alignment horizontal="center" vertical="center"/>
      <protection locked="0"/>
    </xf>
    <xf numFmtId="1" fontId="0" fillId="5" borderId="2" xfId="2" applyNumberFormat="1" applyFont="1" applyFill="1" applyBorder="1" applyAlignment="1" applyProtection="1">
      <alignment horizontal="center" vertical="center"/>
      <protection locked="0"/>
    </xf>
    <xf numFmtId="1" fontId="0" fillId="4" borderId="2" xfId="7" applyNumberFormat="1" applyFont="1" applyFill="1" applyBorder="1" applyAlignment="1" applyProtection="1">
      <alignment horizontal="center" vertical="center"/>
    </xf>
    <xf numFmtId="1" fontId="0" fillId="5" borderId="2" xfId="0" applyNumberFormat="1" applyFont="1" applyFill="1" applyBorder="1" applyAlignment="1" applyProtection="1">
      <alignment vertical="center"/>
      <protection locked="0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0" fontId="5" fillId="3" borderId="0" xfId="0" applyFont="1" applyFill="1"/>
    <xf numFmtId="1" fontId="5" fillId="0" borderId="2" xfId="0" applyNumberFormat="1" applyFont="1" applyBorder="1" applyAlignment="1">
      <alignment vertical="center"/>
    </xf>
    <xf numFmtId="1" fontId="8" fillId="0" borderId="2" xfId="7" applyNumberFormat="1" applyFont="1" applyFill="1" applyBorder="1" applyAlignment="1" applyProtection="1">
      <alignment horizontal="left" vertical="center" wrapText="1"/>
    </xf>
    <xf numFmtId="1" fontId="8" fillId="0" borderId="2" xfId="0" applyNumberFormat="1" applyFont="1" applyBorder="1" applyAlignment="1">
      <alignment horizontal="left" vertical="center" wrapText="1"/>
    </xf>
    <xf numFmtId="1" fontId="0" fillId="0" borderId="2" xfId="0" applyNumberFormat="1" applyFont="1" applyBorder="1" applyAlignment="1">
      <alignment horizontal="left" vertical="center" wrapText="1"/>
    </xf>
    <xf numFmtId="1" fontId="0" fillId="0" borderId="2" xfId="7" applyNumberFormat="1" applyFont="1" applyFill="1" applyBorder="1" applyAlignment="1" applyProtection="1">
      <alignment horizontal="left" vertical="center" wrapText="1"/>
    </xf>
    <xf numFmtId="1" fontId="3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left" vertical="center"/>
    </xf>
    <xf numFmtId="1" fontId="7" fillId="4" borderId="2" xfId="0" applyNumberFormat="1" applyFont="1" applyFill="1" applyBorder="1" applyAlignment="1">
      <alignment horizontal="left" vertical="center"/>
    </xf>
    <xf numFmtId="1" fontId="10" fillId="3" borderId="2" xfId="0" applyNumberFormat="1" applyFont="1" applyFill="1" applyBorder="1" applyAlignment="1">
      <alignment horizontal="center" vertical="center"/>
    </xf>
  </cellXfs>
  <cellStyles count="8">
    <cellStyle name="Comma" xfId="1" builtinId="3"/>
    <cellStyle name="Comma 2" xfId="3"/>
    <cellStyle name="Excel_BuiltIn_Note 1" xfId="7"/>
    <cellStyle name="Normal" xfId="0" builtinId="0"/>
    <cellStyle name="Normal 2" xfId="4"/>
    <cellStyle name="Normal 3" xfId="5"/>
    <cellStyle name="Percent" xfId="2" builtinId="5"/>
    <cellStyle name="Percent 2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241200</xdr:colOff>
      <xdr:row>0</xdr:row>
      <xdr:rowOff>127080</xdr:rowOff>
    </xdr:from>
    <xdr:to>
      <xdr:col>3</xdr:col>
      <xdr:colOff>311400</xdr:colOff>
      <xdr:row>3</xdr:row>
      <xdr:rowOff>137160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487680" y="127080"/>
          <a:ext cx="876240" cy="693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241560</xdr:colOff>
      <xdr:row>0</xdr:row>
      <xdr:rowOff>127080</xdr:rowOff>
    </xdr:from>
    <xdr:to>
      <xdr:col>3</xdr:col>
      <xdr:colOff>310320</xdr:colOff>
      <xdr:row>3</xdr:row>
      <xdr:rowOff>136080</xdr:rowOff>
    </xdr:to>
    <xdr:pic>
      <xdr:nvPicPr>
        <xdr:cNvPr id="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3275280" y="127080"/>
          <a:ext cx="874800" cy="608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LX69"/>
  <sheetViews>
    <sheetView tabSelected="1" zoomScaleNormal="100" workbookViewId="0">
      <selection activeCell="M37" sqref="M37"/>
    </sheetView>
  </sheetViews>
  <sheetFormatPr defaultColWidth="8.5703125" defaultRowHeight="15" x14ac:dyDescent="0.25"/>
  <cols>
    <col min="1" max="1" width="12.140625" customWidth="1"/>
    <col min="2" max="2" width="33.85546875" style="1" customWidth="1"/>
    <col min="3" max="3" width="11.42578125" style="1" customWidth="1"/>
    <col min="4" max="4" width="7.42578125" style="1" customWidth="1"/>
    <col min="5" max="5" width="14.140625" style="1" customWidth="1"/>
    <col min="6" max="6" width="17.85546875" style="1" customWidth="1"/>
    <col min="7" max="1012" width="8.5703125" style="2"/>
  </cols>
  <sheetData>
    <row r="1" spans="1:6" ht="17.25" x14ac:dyDescent="0.25">
      <c r="A1" s="29" t="s">
        <v>0</v>
      </c>
      <c r="B1" s="29"/>
      <c r="C1" s="30"/>
      <c r="D1" s="30"/>
      <c r="E1" s="3" t="s">
        <v>1</v>
      </c>
      <c r="F1" s="4">
        <v>45421</v>
      </c>
    </row>
    <row r="2" spans="1:6" ht="21" customHeight="1" x14ac:dyDescent="0.25">
      <c r="A2" s="3" t="s">
        <v>2</v>
      </c>
      <c r="B2" s="3" t="s">
        <v>3</v>
      </c>
      <c r="C2" s="30"/>
      <c r="D2" s="30"/>
      <c r="E2" s="3" t="s">
        <v>4</v>
      </c>
      <c r="F2" s="5" t="s">
        <v>5</v>
      </c>
    </row>
    <row r="3" spans="1:6" ht="15.6" customHeight="1" x14ac:dyDescent="0.25">
      <c r="A3" s="6" t="s">
        <v>6</v>
      </c>
      <c r="B3" s="6">
        <v>1</v>
      </c>
      <c r="C3" s="30"/>
      <c r="D3" s="30"/>
      <c r="E3" s="3" t="s">
        <v>7</v>
      </c>
      <c r="F3" s="5" t="s">
        <v>8</v>
      </c>
    </row>
    <row r="4" spans="1:6" ht="21" customHeight="1" x14ac:dyDescent="0.25">
      <c r="A4" s="3" t="s">
        <v>9</v>
      </c>
      <c r="B4" s="6">
        <v>1</v>
      </c>
      <c r="C4" s="30"/>
      <c r="D4" s="30"/>
      <c r="E4" s="3" t="s">
        <v>10</v>
      </c>
      <c r="F4" s="5">
        <v>0</v>
      </c>
    </row>
    <row r="5" spans="1:6" ht="17.25" x14ac:dyDescent="0.25">
      <c r="A5" s="31" t="s">
        <v>11</v>
      </c>
      <c r="B5" s="31"/>
      <c r="C5" s="32">
        <f>SUM(F11:F69)</f>
        <v>166485</v>
      </c>
      <c r="D5" s="32"/>
      <c r="E5" s="32"/>
      <c r="F5" s="32"/>
    </row>
    <row r="6" spans="1:6" ht="15.75" x14ac:dyDescent="0.25">
      <c r="A6" s="7" t="s">
        <v>12</v>
      </c>
      <c r="B6" s="6">
        <f>SUM(F11:F36)</f>
        <v>99375</v>
      </c>
      <c r="C6" s="8">
        <f>B6/$F$7</f>
        <v>22.039254823685962</v>
      </c>
      <c r="D6" s="8" t="s">
        <v>13</v>
      </c>
      <c r="E6" s="6" t="s">
        <v>14</v>
      </c>
      <c r="F6" s="9">
        <v>6.9</v>
      </c>
    </row>
    <row r="7" spans="1:6" x14ac:dyDescent="0.25">
      <c r="A7" s="7" t="s">
        <v>15</v>
      </c>
      <c r="B7" s="6">
        <f>SUM(F37:F41)</f>
        <v>34130</v>
      </c>
      <c r="C7" s="8">
        <f>B7/$F$7</f>
        <v>7.5693058327788867</v>
      </c>
      <c r="D7" s="8" t="s">
        <v>13</v>
      </c>
      <c r="E7" s="6" t="s">
        <v>16</v>
      </c>
      <c r="F7" s="5">
        <v>4509</v>
      </c>
    </row>
    <row r="8" spans="1:6" ht="15.75" x14ac:dyDescent="0.25">
      <c r="A8" s="7" t="s">
        <v>17</v>
      </c>
      <c r="B8" s="7">
        <f>SUM(F43:F53)</f>
        <v>30155</v>
      </c>
      <c r="C8" s="8">
        <f>B8/$F$7</f>
        <v>6.6877356398314483</v>
      </c>
      <c r="D8" s="8" t="s">
        <v>13</v>
      </c>
      <c r="E8" s="6" t="s">
        <v>18</v>
      </c>
      <c r="F8" s="9">
        <f>C5/F7</f>
        <v>36.922821024617434</v>
      </c>
    </row>
    <row r="9" spans="1:6" ht="15.75" x14ac:dyDescent="0.25">
      <c r="A9" s="7" t="s">
        <v>19</v>
      </c>
      <c r="B9" s="6">
        <f>SUM(F54:F69)</f>
        <v>2825</v>
      </c>
      <c r="C9" s="8">
        <f>B9/$F$7</f>
        <v>0.62652472832113548</v>
      </c>
      <c r="D9" s="8" t="s">
        <v>13</v>
      </c>
      <c r="E9" s="6" t="s">
        <v>20</v>
      </c>
      <c r="F9" s="9">
        <f>F8/F6</f>
        <v>5.3511334818286134</v>
      </c>
    </row>
    <row r="10" spans="1:6" ht="15.75" x14ac:dyDescent="0.25">
      <c r="A10" s="33" t="s">
        <v>21</v>
      </c>
      <c r="B10" s="33"/>
      <c r="C10" s="10" t="s">
        <v>22</v>
      </c>
      <c r="D10" s="10" t="s">
        <v>23</v>
      </c>
      <c r="E10" s="10" t="s">
        <v>24</v>
      </c>
      <c r="F10" s="10" t="s">
        <v>25</v>
      </c>
    </row>
    <row r="11" spans="1:6" ht="15" customHeight="1" x14ac:dyDescent="0.25">
      <c r="A11" s="28" t="s">
        <v>26</v>
      </c>
      <c r="B11" s="28"/>
      <c r="C11" s="11">
        <v>1</v>
      </c>
      <c r="D11" s="12" t="s">
        <v>27</v>
      </c>
      <c r="E11" s="11">
        <f>8000+58740+370+370-6300</f>
        <v>61180</v>
      </c>
      <c r="F11" s="13">
        <f t="shared" ref="F11:F25" si="0">C11*E11</f>
        <v>61180</v>
      </c>
    </row>
    <row r="12" spans="1:6" ht="14.25" hidden="1" customHeight="1" x14ac:dyDescent="0.25">
      <c r="A12" s="28" t="s">
        <v>28</v>
      </c>
      <c r="B12" s="28"/>
      <c r="C12" s="11"/>
      <c r="D12" s="12" t="s">
        <v>27</v>
      </c>
      <c r="E12" s="11"/>
      <c r="F12" s="13">
        <f t="shared" si="0"/>
        <v>0</v>
      </c>
    </row>
    <row r="13" spans="1:6" s="14" customFormat="1" ht="15" hidden="1" customHeight="1" x14ac:dyDescent="0.25">
      <c r="A13" s="28" t="s">
        <v>29</v>
      </c>
      <c r="B13" s="28"/>
      <c r="C13" s="11"/>
      <c r="D13" s="12" t="s">
        <v>27</v>
      </c>
      <c r="E13" s="11"/>
      <c r="F13" s="13">
        <f t="shared" si="0"/>
        <v>0</v>
      </c>
    </row>
    <row r="14" spans="1:6" s="14" customFormat="1" ht="15" hidden="1" customHeight="1" x14ac:dyDescent="0.25">
      <c r="A14" s="28" t="s">
        <v>30</v>
      </c>
      <c r="B14" s="28"/>
      <c r="C14" s="11"/>
      <c r="D14" s="12" t="s">
        <v>27</v>
      </c>
      <c r="E14" s="11"/>
      <c r="F14" s="13">
        <f t="shared" si="0"/>
        <v>0</v>
      </c>
    </row>
    <row r="15" spans="1:6" s="14" customFormat="1" ht="15" hidden="1" customHeight="1" x14ac:dyDescent="0.25">
      <c r="A15" s="28" t="s">
        <v>31</v>
      </c>
      <c r="B15" s="28"/>
      <c r="C15" s="11"/>
      <c r="D15" s="12" t="s">
        <v>32</v>
      </c>
      <c r="E15" s="11"/>
      <c r="F15" s="13">
        <f t="shared" si="0"/>
        <v>0</v>
      </c>
    </row>
    <row r="16" spans="1:6" s="14" customFormat="1" ht="15" hidden="1" customHeight="1" x14ac:dyDescent="0.25">
      <c r="A16" s="28" t="s">
        <v>33</v>
      </c>
      <c r="B16" s="28"/>
      <c r="C16" s="11"/>
      <c r="D16" s="12" t="s">
        <v>27</v>
      </c>
      <c r="E16" s="11"/>
      <c r="F16" s="13">
        <f t="shared" si="0"/>
        <v>0</v>
      </c>
    </row>
    <row r="17" spans="1:6" s="14" customFormat="1" ht="15" hidden="1" customHeight="1" x14ac:dyDescent="0.25">
      <c r="A17" s="28" t="s">
        <v>34</v>
      </c>
      <c r="B17" s="28"/>
      <c r="C17" s="11"/>
      <c r="D17" s="12" t="s">
        <v>27</v>
      </c>
      <c r="E17" s="11"/>
      <c r="F17" s="13">
        <f t="shared" si="0"/>
        <v>0</v>
      </c>
    </row>
    <row r="18" spans="1:6" s="14" customFormat="1" ht="15" hidden="1" customHeight="1" x14ac:dyDescent="0.25">
      <c r="A18" s="28" t="s">
        <v>35</v>
      </c>
      <c r="B18" s="28"/>
      <c r="C18" s="11"/>
      <c r="D18" s="12" t="s">
        <v>27</v>
      </c>
      <c r="E18" s="11"/>
      <c r="F18" s="13">
        <f t="shared" si="0"/>
        <v>0</v>
      </c>
    </row>
    <row r="19" spans="1:6" s="14" customFormat="1" ht="15" hidden="1" customHeight="1" x14ac:dyDescent="0.25">
      <c r="A19" s="28" t="s">
        <v>36</v>
      </c>
      <c r="B19" s="28"/>
      <c r="C19" s="11"/>
      <c r="D19" s="12" t="s">
        <v>27</v>
      </c>
      <c r="E19" s="11"/>
      <c r="F19" s="13">
        <f t="shared" si="0"/>
        <v>0</v>
      </c>
    </row>
    <row r="20" spans="1:6" s="14" customFormat="1" ht="15" hidden="1" customHeight="1" x14ac:dyDescent="0.25">
      <c r="A20" s="28" t="s">
        <v>37</v>
      </c>
      <c r="B20" s="28"/>
      <c r="C20" s="11"/>
      <c r="D20" s="12" t="s">
        <v>27</v>
      </c>
      <c r="E20" s="11"/>
      <c r="F20" s="13">
        <f t="shared" si="0"/>
        <v>0</v>
      </c>
    </row>
    <row r="21" spans="1:6" s="14" customFormat="1" ht="15" hidden="1" customHeight="1" x14ac:dyDescent="0.25">
      <c r="A21" s="28" t="s">
        <v>38</v>
      </c>
      <c r="B21" s="28"/>
      <c r="C21" s="11"/>
      <c r="D21" s="12" t="s">
        <v>27</v>
      </c>
      <c r="E21" s="11"/>
      <c r="F21" s="13">
        <f t="shared" si="0"/>
        <v>0</v>
      </c>
    </row>
    <row r="22" spans="1:6" s="14" customFormat="1" ht="15" hidden="1" customHeight="1" x14ac:dyDescent="0.25">
      <c r="A22" s="28" t="s">
        <v>39</v>
      </c>
      <c r="B22" s="28"/>
      <c r="C22" s="11"/>
      <c r="D22" s="12" t="s">
        <v>27</v>
      </c>
      <c r="E22" s="11"/>
      <c r="F22" s="13">
        <f t="shared" si="0"/>
        <v>0</v>
      </c>
    </row>
    <row r="23" spans="1:6" s="14" customFormat="1" ht="15" hidden="1" customHeight="1" x14ac:dyDescent="0.25">
      <c r="A23" s="28" t="s">
        <v>40</v>
      </c>
      <c r="B23" s="28"/>
      <c r="C23" s="11"/>
      <c r="D23" s="12" t="s">
        <v>27</v>
      </c>
      <c r="E23" s="11"/>
      <c r="F23" s="13">
        <f t="shared" si="0"/>
        <v>0</v>
      </c>
    </row>
    <row r="24" spans="1:6" s="14" customFormat="1" ht="15" hidden="1" customHeight="1" x14ac:dyDescent="0.25">
      <c r="A24" s="28" t="s">
        <v>41</v>
      </c>
      <c r="B24" s="28"/>
      <c r="C24" s="11"/>
      <c r="D24" s="12" t="s">
        <v>32</v>
      </c>
      <c r="E24" s="11"/>
      <c r="F24" s="13">
        <f t="shared" si="0"/>
        <v>0</v>
      </c>
    </row>
    <row r="25" spans="1:6" s="14" customFormat="1" ht="16.5" hidden="1" customHeight="1" x14ac:dyDescent="0.25">
      <c r="A25" s="28" t="s">
        <v>42</v>
      </c>
      <c r="B25" s="28"/>
      <c r="C25" s="11"/>
      <c r="D25" s="12"/>
      <c r="E25" s="11"/>
      <c r="F25" s="13">
        <f t="shared" si="0"/>
        <v>0</v>
      </c>
    </row>
    <row r="26" spans="1:6" s="14" customFormat="1" ht="15" hidden="1" customHeight="1" x14ac:dyDescent="0.25">
      <c r="A26" s="28" t="s">
        <v>43</v>
      </c>
      <c r="B26" s="28"/>
      <c r="C26" s="11"/>
      <c r="D26" s="12" t="s">
        <v>32</v>
      </c>
      <c r="E26" s="11"/>
      <c r="F26" s="13"/>
    </row>
    <row r="27" spans="1:6" s="14" customFormat="1" ht="15" hidden="1" customHeight="1" x14ac:dyDescent="0.25">
      <c r="A27" s="28" t="s">
        <v>44</v>
      </c>
      <c r="B27" s="28"/>
      <c r="C27" s="15"/>
      <c r="D27" s="12"/>
      <c r="E27" s="11"/>
      <c r="F27" s="13">
        <f>C27*SUM(F11:F24)</f>
        <v>0</v>
      </c>
    </row>
    <row r="28" spans="1:6" ht="15" customHeight="1" x14ac:dyDescent="0.25">
      <c r="A28" s="25" t="s">
        <v>45</v>
      </c>
      <c r="B28" s="25"/>
      <c r="C28" s="16">
        <v>1</v>
      </c>
      <c r="D28" s="17" t="s">
        <v>32</v>
      </c>
      <c r="E28" s="16">
        <f>31535+4320</f>
        <v>35855</v>
      </c>
      <c r="F28" s="13">
        <f t="shared" ref="F28:F33" si="1">C28*E28</f>
        <v>35855</v>
      </c>
    </row>
    <row r="29" spans="1:6" s="14" customFormat="1" ht="15" hidden="1" customHeight="1" x14ac:dyDescent="0.25">
      <c r="A29" s="28" t="s">
        <v>46</v>
      </c>
      <c r="B29" s="28"/>
      <c r="C29" s="11"/>
      <c r="D29" s="12"/>
      <c r="E29" s="11"/>
      <c r="F29" s="13">
        <f t="shared" si="1"/>
        <v>0</v>
      </c>
    </row>
    <row r="30" spans="1:6" s="14" customFormat="1" ht="15" hidden="1" customHeight="1" x14ac:dyDescent="0.25">
      <c r="A30" s="28" t="s">
        <v>47</v>
      </c>
      <c r="B30" s="28"/>
      <c r="C30" s="11"/>
      <c r="D30" s="12"/>
      <c r="E30" s="11"/>
      <c r="F30" s="13">
        <f t="shared" si="1"/>
        <v>0</v>
      </c>
    </row>
    <row r="31" spans="1:6" s="14" customFormat="1" ht="15" hidden="1" customHeight="1" x14ac:dyDescent="0.25">
      <c r="A31" s="28" t="s">
        <v>48</v>
      </c>
      <c r="B31" s="28"/>
      <c r="C31" s="11"/>
      <c r="D31" s="12" t="s">
        <v>49</v>
      </c>
      <c r="E31" s="11"/>
      <c r="F31" s="13">
        <f t="shared" si="1"/>
        <v>0</v>
      </c>
    </row>
    <row r="32" spans="1:6" s="14" customFormat="1" ht="15" hidden="1" customHeight="1" x14ac:dyDescent="0.25">
      <c r="A32" s="28" t="s">
        <v>50</v>
      </c>
      <c r="B32" s="28"/>
      <c r="C32" s="11"/>
      <c r="D32" s="12" t="s">
        <v>27</v>
      </c>
      <c r="E32" s="11"/>
      <c r="F32" s="13">
        <f t="shared" si="1"/>
        <v>0</v>
      </c>
    </row>
    <row r="33" spans="1:1012" s="14" customFormat="1" ht="15" customHeight="1" x14ac:dyDescent="0.25">
      <c r="A33" s="28" t="s">
        <v>51</v>
      </c>
      <c r="B33" s="28"/>
      <c r="C33" s="11">
        <v>1</v>
      </c>
      <c r="D33" s="12" t="s">
        <v>27</v>
      </c>
      <c r="E33" s="11">
        <v>650</v>
      </c>
      <c r="F33" s="13">
        <f t="shared" si="1"/>
        <v>650</v>
      </c>
    </row>
    <row r="34" spans="1:1012" s="14" customFormat="1" ht="15" hidden="1" customHeight="1" x14ac:dyDescent="0.25">
      <c r="A34" s="28" t="s">
        <v>52</v>
      </c>
      <c r="B34" s="28"/>
      <c r="C34" s="15"/>
      <c r="D34" s="12"/>
      <c r="E34" s="11"/>
      <c r="F34" s="13">
        <f>C34*F33</f>
        <v>0</v>
      </c>
    </row>
    <row r="35" spans="1:1012" s="14" customFormat="1" ht="15" customHeight="1" x14ac:dyDescent="0.25">
      <c r="A35" s="25" t="s">
        <v>53</v>
      </c>
      <c r="B35" s="25"/>
      <c r="C35" s="11">
        <v>1</v>
      </c>
      <c r="D35" s="17"/>
      <c r="E35" s="11">
        <v>1690</v>
      </c>
      <c r="F35" s="13">
        <f>C35*E35</f>
        <v>1690</v>
      </c>
    </row>
    <row r="36" spans="1:1012" ht="15" hidden="1" customHeight="1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</row>
    <row r="37" spans="1:1012" s="14" customFormat="1" ht="15" customHeight="1" x14ac:dyDescent="0.25">
      <c r="A37" s="28" t="s">
        <v>54</v>
      </c>
      <c r="B37" s="28"/>
      <c r="C37" s="11">
        <v>1</v>
      </c>
      <c r="D37" s="12" t="s">
        <v>27</v>
      </c>
      <c r="E37" s="11">
        <f>4090+4690</f>
        <v>8780</v>
      </c>
      <c r="F37" s="13">
        <f t="shared" ref="F37:F43" si="2">C37*E37</f>
        <v>8780</v>
      </c>
    </row>
    <row r="38" spans="1:1012" ht="15" hidden="1" customHeight="1" x14ac:dyDescent="0.25">
      <c r="A38" s="25" t="s">
        <v>55</v>
      </c>
      <c r="B38" s="25"/>
      <c r="C38" s="16"/>
      <c r="D38" s="17"/>
      <c r="E38" s="16"/>
      <c r="F38" s="13">
        <f t="shared" si="2"/>
        <v>0</v>
      </c>
    </row>
    <row r="39" spans="1:1012" ht="15" hidden="1" customHeight="1" x14ac:dyDescent="0.25">
      <c r="A39" s="25" t="s">
        <v>56</v>
      </c>
      <c r="B39" s="25"/>
      <c r="C39" s="16"/>
      <c r="D39" s="17"/>
      <c r="E39" s="16"/>
      <c r="F39" s="13">
        <f t="shared" si="2"/>
        <v>0</v>
      </c>
    </row>
    <row r="40" spans="1:1012" ht="15" hidden="1" customHeight="1" x14ac:dyDescent="0.25">
      <c r="A40" s="25" t="s">
        <v>57</v>
      </c>
      <c r="B40" s="25"/>
      <c r="C40" s="16"/>
      <c r="D40" s="17"/>
      <c r="E40" s="16"/>
      <c r="F40" s="13">
        <f t="shared" si="2"/>
        <v>0</v>
      </c>
    </row>
    <row r="41" spans="1:1012" s="14" customFormat="1" ht="15" customHeight="1" x14ac:dyDescent="0.25">
      <c r="A41" s="28" t="s">
        <v>58</v>
      </c>
      <c r="B41" s="28"/>
      <c r="C41" s="11">
        <v>1</v>
      </c>
      <c r="D41" s="12"/>
      <c r="E41" s="11">
        <f>24100+1250</f>
        <v>25350</v>
      </c>
      <c r="F41" s="13">
        <f t="shared" si="2"/>
        <v>25350</v>
      </c>
    </row>
    <row r="42" spans="1:1012" ht="15" hidden="1" customHeight="1" x14ac:dyDescent="0.25">
      <c r="A42" s="25" t="s">
        <v>59</v>
      </c>
      <c r="B42" s="25"/>
      <c r="C42" s="16"/>
      <c r="D42" s="17" t="s">
        <v>32</v>
      </c>
      <c r="E42" s="16"/>
      <c r="F42" s="13">
        <f t="shared" si="2"/>
        <v>0</v>
      </c>
    </row>
    <row r="43" spans="1:1012" ht="15" customHeight="1" x14ac:dyDescent="0.25">
      <c r="A43" s="27" t="s">
        <v>60</v>
      </c>
      <c r="B43" s="27"/>
      <c r="C43" s="16">
        <v>4640</v>
      </c>
      <c r="D43" s="12" t="s">
        <v>49</v>
      </c>
      <c r="E43" s="18">
        <v>4.5</v>
      </c>
      <c r="F43" s="13">
        <f t="shared" si="2"/>
        <v>20880</v>
      </c>
    </row>
    <row r="44" spans="1:1012" ht="15" hidden="1" customHeight="1" x14ac:dyDescent="0.25">
      <c r="A44" s="27" t="s">
        <v>61</v>
      </c>
      <c r="B44" s="27"/>
      <c r="C44" s="16"/>
      <c r="D44" s="12" t="s">
        <v>49</v>
      </c>
      <c r="E44" s="16"/>
      <c r="F44" s="13"/>
    </row>
    <row r="45" spans="1:1012" ht="15" customHeight="1" x14ac:dyDescent="0.25">
      <c r="A45" s="27" t="s">
        <v>62</v>
      </c>
      <c r="B45" s="27"/>
      <c r="C45" s="16">
        <v>1420</v>
      </c>
      <c r="D45" s="12" t="s">
        <v>49</v>
      </c>
      <c r="E45" s="18">
        <v>4.5</v>
      </c>
      <c r="F45" s="13">
        <f t="shared" ref="F45:F69" si="3">C45*E45</f>
        <v>6390</v>
      </c>
    </row>
    <row r="46" spans="1:1012" ht="15" hidden="1" customHeight="1" x14ac:dyDescent="0.25">
      <c r="A46" s="27" t="s">
        <v>63</v>
      </c>
      <c r="B46" s="27"/>
      <c r="C46" s="16"/>
      <c r="D46" s="12" t="s">
        <v>49</v>
      </c>
      <c r="E46" s="16"/>
      <c r="F46" s="13">
        <f t="shared" si="3"/>
        <v>0</v>
      </c>
    </row>
    <row r="47" spans="1:1012" ht="15" hidden="1" customHeight="1" x14ac:dyDescent="0.25">
      <c r="A47" s="27" t="s">
        <v>64</v>
      </c>
      <c r="B47" s="27"/>
      <c r="C47" s="16"/>
      <c r="D47" s="12" t="s">
        <v>49</v>
      </c>
      <c r="E47" s="16"/>
      <c r="F47" s="13">
        <f t="shared" si="3"/>
        <v>0</v>
      </c>
    </row>
    <row r="48" spans="1:1012" ht="15" customHeight="1" x14ac:dyDescent="0.25">
      <c r="A48" s="27" t="s">
        <v>65</v>
      </c>
      <c r="B48" s="27"/>
      <c r="C48" s="16">
        <v>1</v>
      </c>
      <c r="D48" s="12" t="s">
        <v>49</v>
      </c>
      <c r="E48" s="16">
        <v>2885</v>
      </c>
      <c r="F48" s="13">
        <f t="shared" si="3"/>
        <v>2885</v>
      </c>
    </row>
    <row r="49" spans="1:6" ht="15" hidden="1" customHeight="1" x14ac:dyDescent="0.25">
      <c r="A49" s="27" t="s">
        <v>66</v>
      </c>
      <c r="B49" s="27"/>
      <c r="C49" s="16"/>
      <c r="D49" s="12" t="s">
        <v>27</v>
      </c>
      <c r="E49" s="16"/>
      <c r="F49" s="13">
        <f t="shared" si="3"/>
        <v>0</v>
      </c>
    </row>
    <row r="50" spans="1:6" ht="15" hidden="1" customHeight="1" x14ac:dyDescent="0.25">
      <c r="A50" s="27" t="s">
        <v>67</v>
      </c>
      <c r="B50" s="27"/>
      <c r="C50" s="16"/>
      <c r="D50" s="12" t="s">
        <v>49</v>
      </c>
      <c r="E50" s="16"/>
      <c r="F50" s="13">
        <f t="shared" si="3"/>
        <v>0</v>
      </c>
    </row>
    <row r="51" spans="1:6" ht="15" hidden="1" customHeight="1" x14ac:dyDescent="0.25">
      <c r="A51" s="27" t="s">
        <v>68</v>
      </c>
      <c r="B51" s="27"/>
      <c r="C51" s="16"/>
      <c r="D51" s="12" t="s">
        <v>32</v>
      </c>
      <c r="E51" s="16"/>
      <c r="F51" s="13">
        <f t="shared" si="3"/>
        <v>0</v>
      </c>
    </row>
    <row r="52" spans="1:6" ht="15" hidden="1" customHeight="1" x14ac:dyDescent="0.25">
      <c r="A52" s="27" t="s">
        <v>69</v>
      </c>
      <c r="B52" s="27"/>
      <c r="C52" s="16"/>
      <c r="D52" s="12" t="s">
        <v>32</v>
      </c>
      <c r="E52" s="11"/>
      <c r="F52" s="13">
        <f t="shared" si="3"/>
        <v>0</v>
      </c>
    </row>
    <row r="53" spans="1:6" ht="15" hidden="1" customHeight="1" x14ac:dyDescent="0.25">
      <c r="A53" s="27" t="s">
        <v>70</v>
      </c>
      <c r="B53" s="27"/>
      <c r="C53" s="16"/>
      <c r="D53" s="12" t="s">
        <v>49</v>
      </c>
      <c r="E53" s="11"/>
      <c r="F53" s="13">
        <f t="shared" si="3"/>
        <v>0</v>
      </c>
    </row>
    <row r="54" spans="1:6" ht="15" hidden="1" customHeight="1" x14ac:dyDescent="0.25">
      <c r="A54" s="27" t="s">
        <v>71</v>
      </c>
      <c r="B54" s="27"/>
      <c r="C54" s="19"/>
      <c r="D54" s="12"/>
      <c r="E54" s="16">
        <v>2300</v>
      </c>
      <c r="F54" s="13">
        <f t="shared" si="3"/>
        <v>0</v>
      </c>
    </row>
    <row r="55" spans="1:6" ht="15" customHeight="1" x14ac:dyDescent="0.25">
      <c r="A55" s="27" t="s">
        <v>72</v>
      </c>
      <c r="B55" s="27"/>
      <c r="C55" s="19">
        <v>1</v>
      </c>
      <c r="D55" s="12"/>
      <c r="E55" s="16">
        <v>280</v>
      </c>
      <c r="F55" s="13">
        <f t="shared" si="3"/>
        <v>280</v>
      </c>
    </row>
    <row r="56" spans="1:6" ht="15" customHeight="1" x14ac:dyDescent="0.25">
      <c r="A56" s="27" t="s">
        <v>73</v>
      </c>
      <c r="B56" s="27"/>
      <c r="C56" s="19">
        <v>1</v>
      </c>
      <c r="D56" s="12" t="s">
        <v>32</v>
      </c>
      <c r="E56" s="16">
        <v>2545</v>
      </c>
      <c r="F56" s="13">
        <f t="shared" si="3"/>
        <v>2545</v>
      </c>
    </row>
    <row r="57" spans="1:6" ht="15" hidden="1" customHeight="1" x14ac:dyDescent="0.25">
      <c r="A57" s="26" t="s">
        <v>74</v>
      </c>
      <c r="B57" s="26"/>
      <c r="C57" s="11"/>
      <c r="D57" s="20" t="s">
        <v>75</v>
      </c>
      <c r="E57" s="11">
        <v>60</v>
      </c>
      <c r="F57" s="13">
        <f t="shared" si="3"/>
        <v>0</v>
      </c>
    </row>
    <row r="58" spans="1:6" ht="15" hidden="1" customHeight="1" x14ac:dyDescent="0.25">
      <c r="A58" s="26" t="s">
        <v>76</v>
      </c>
      <c r="B58" s="26"/>
      <c r="C58" s="11"/>
      <c r="D58" s="20" t="s">
        <v>27</v>
      </c>
      <c r="E58" s="11"/>
      <c r="F58" s="13">
        <f t="shared" si="3"/>
        <v>0</v>
      </c>
    </row>
    <row r="59" spans="1:6" ht="15" hidden="1" customHeight="1" x14ac:dyDescent="0.25">
      <c r="A59" s="25" t="s">
        <v>77</v>
      </c>
      <c r="B59" s="25"/>
      <c r="C59" s="11"/>
      <c r="D59" s="20" t="s">
        <v>27</v>
      </c>
      <c r="E59" s="16"/>
      <c r="F59" s="13">
        <f t="shared" si="3"/>
        <v>0</v>
      </c>
    </row>
    <row r="60" spans="1:6" ht="15" hidden="1" customHeight="1" x14ac:dyDescent="0.25">
      <c r="A60" s="25" t="s">
        <v>78</v>
      </c>
      <c r="B60" s="25"/>
      <c r="C60" s="11"/>
      <c r="D60" s="20" t="s">
        <v>27</v>
      </c>
      <c r="E60" s="16"/>
      <c r="F60" s="13">
        <f t="shared" si="3"/>
        <v>0</v>
      </c>
    </row>
    <row r="61" spans="1:6" ht="15" hidden="1" customHeight="1" x14ac:dyDescent="0.25">
      <c r="A61" s="25" t="s">
        <v>79</v>
      </c>
      <c r="B61" s="25"/>
      <c r="C61" s="11"/>
      <c r="D61" s="20" t="s">
        <v>32</v>
      </c>
      <c r="E61" s="16">
        <v>22</v>
      </c>
      <c r="F61" s="13">
        <f t="shared" si="3"/>
        <v>0</v>
      </c>
    </row>
    <row r="62" spans="1:6" ht="15" hidden="1" customHeight="1" x14ac:dyDescent="0.25">
      <c r="A62" s="25" t="s">
        <v>80</v>
      </c>
      <c r="B62" s="25"/>
      <c r="C62" s="11"/>
      <c r="D62" s="20" t="s">
        <v>32</v>
      </c>
      <c r="E62" s="16">
        <v>75</v>
      </c>
      <c r="F62" s="13">
        <f t="shared" si="3"/>
        <v>0</v>
      </c>
    </row>
    <row r="63" spans="1:6" ht="15" hidden="1" customHeight="1" x14ac:dyDescent="0.25">
      <c r="A63" s="25" t="s">
        <v>81</v>
      </c>
      <c r="B63" s="25"/>
      <c r="C63" s="16"/>
      <c r="D63" s="20" t="s">
        <v>32</v>
      </c>
      <c r="E63" s="16">
        <v>20</v>
      </c>
      <c r="F63" s="13">
        <f t="shared" si="3"/>
        <v>0</v>
      </c>
    </row>
    <row r="64" spans="1:6" s="14" customFormat="1" ht="15" hidden="1" customHeight="1" x14ac:dyDescent="0.25">
      <c r="A64" s="25" t="s">
        <v>82</v>
      </c>
      <c r="B64" s="25"/>
      <c r="C64" s="11"/>
      <c r="D64" s="20" t="s">
        <v>27</v>
      </c>
      <c r="E64" s="11"/>
      <c r="F64" s="13">
        <f t="shared" si="3"/>
        <v>0</v>
      </c>
    </row>
    <row r="65" spans="1:6" s="14" customFormat="1" ht="15" hidden="1" customHeight="1" x14ac:dyDescent="0.25">
      <c r="A65" s="25" t="s">
        <v>83</v>
      </c>
      <c r="B65" s="25"/>
      <c r="C65" s="11"/>
      <c r="D65" s="20" t="s">
        <v>49</v>
      </c>
      <c r="E65" s="11"/>
      <c r="F65" s="13">
        <f t="shared" si="3"/>
        <v>0</v>
      </c>
    </row>
    <row r="66" spans="1:6" s="14" customFormat="1" ht="15" hidden="1" customHeight="1" x14ac:dyDescent="0.25">
      <c r="A66" s="25" t="s">
        <v>84</v>
      </c>
      <c r="B66" s="25"/>
      <c r="C66" s="11"/>
      <c r="D66" s="20" t="s">
        <v>27</v>
      </c>
      <c r="E66" s="11"/>
      <c r="F66" s="13">
        <f t="shared" si="3"/>
        <v>0</v>
      </c>
    </row>
    <row r="67" spans="1:6" s="14" customFormat="1" ht="15" hidden="1" customHeight="1" x14ac:dyDescent="0.25">
      <c r="A67" s="25" t="s">
        <v>85</v>
      </c>
      <c r="B67" s="25"/>
      <c r="C67" s="11"/>
      <c r="D67" s="20" t="s">
        <v>49</v>
      </c>
      <c r="E67" s="11"/>
      <c r="F67" s="13">
        <f t="shared" si="3"/>
        <v>0</v>
      </c>
    </row>
    <row r="68" spans="1:6" s="14" customFormat="1" ht="15" hidden="1" customHeight="1" x14ac:dyDescent="0.25">
      <c r="A68" s="25" t="s">
        <v>86</v>
      </c>
      <c r="B68" s="25"/>
      <c r="C68" s="11"/>
      <c r="D68" s="20" t="s">
        <v>49</v>
      </c>
      <c r="E68" s="11"/>
      <c r="F68" s="13">
        <f t="shared" si="3"/>
        <v>0</v>
      </c>
    </row>
    <row r="69" spans="1:6" ht="15" hidden="1" customHeight="1" x14ac:dyDescent="0.25">
      <c r="A69" s="25" t="s">
        <v>87</v>
      </c>
      <c r="B69" s="25"/>
      <c r="C69" s="21"/>
      <c r="D69" s="20" t="s">
        <v>32</v>
      </c>
      <c r="E69" s="22">
        <v>28</v>
      </c>
      <c r="F69" s="13">
        <f t="shared" si="3"/>
        <v>0</v>
      </c>
    </row>
  </sheetData>
  <autoFilter ref="C10:E69">
    <filterColumn colId="0">
      <filters>
        <filter val="1"/>
        <filter val="1420"/>
        <filter val="4640"/>
      </filters>
    </filterColumn>
  </autoFilter>
  <mergeCells count="63">
    <mergeCell ref="A1:B1"/>
    <mergeCell ref="C1:D4"/>
    <mergeCell ref="A5:B5"/>
    <mergeCell ref="C5:F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7:B67"/>
    <mergeCell ref="A68:B68"/>
    <mergeCell ref="A69:B69"/>
    <mergeCell ref="A62:B62"/>
    <mergeCell ref="A63:B63"/>
    <mergeCell ref="A64:B64"/>
    <mergeCell ref="A65:B65"/>
    <mergeCell ref="A66:B66"/>
  </mergeCells>
  <printOptions horizontalCentered="1"/>
  <pageMargins left="0.82708333333333295" right="0.23611111111111099" top="0.35486111111111102" bottom="0.35486111111111102" header="0.51180555555555496" footer="0.51180555555555496"/>
  <pageSetup paperSize="9" scale="95" firstPageNumber="0" orientation="portrait" horizontalDpi="300" verticalDpi="300"/>
  <headerFooter>
    <oddHeader>&amp;CInfiniti Solutions</oddHeader>
    <oddFooter>&amp;LConfidential&amp;CEstimation V1.0&amp;R&amp;P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9"/>
  <sheetViews>
    <sheetView zoomScaleNormal="100" workbookViewId="0">
      <selection activeCell="A31" sqref="A31"/>
    </sheetView>
  </sheetViews>
  <sheetFormatPr defaultColWidth="8.7109375" defaultRowHeight="15" x14ac:dyDescent="0.25"/>
  <cols>
    <col min="1" max="1" width="26.7109375" customWidth="1"/>
    <col min="2" max="2" width="16.28515625" customWidth="1"/>
    <col min="3" max="3" width="11.42578125" customWidth="1"/>
    <col min="4" max="4" width="7.42578125" customWidth="1"/>
    <col min="5" max="5" width="14.140625" customWidth="1"/>
    <col min="6" max="6" width="17.85546875" customWidth="1"/>
  </cols>
  <sheetData>
    <row r="1" spans="1:6" ht="17.25" x14ac:dyDescent="0.25">
      <c r="A1" s="29" t="s">
        <v>88</v>
      </c>
      <c r="B1" s="29"/>
      <c r="C1" s="30"/>
      <c r="D1" s="30"/>
      <c r="E1" s="3" t="s">
        <v>1</v>
      </c>
      <c r="F1" s="4">
        <v>45026</v>
      </c>
    </row>
    <row r="2" spans="1:6" x14ac:dyDescent="0.25">
      <c r="A2" s="3" t="s">
        <v>2</v>
      </c>
      <c r="B2" s="3"/>
      <c r="C2" s="30"/>
      <c r="D2" s="30"/>
      <c r="E2" s="3" t="s">
        <v>4</v>
      </c>
      <c r="F2" s="5"/>
    </row>
    <row r="3" spans="1:6" x14ac:dyDescent="0.25">
      <c r="A3" s="6" t="s">
        <v>6</v>
      </c>
      <c r="B3" s="6">
        <v>1</v>
      </c>
      <c r="C3" s="30"/>
      <c r="D3" s="30"/>
      <c r="E3" s="3" t="s">
        <v>7</v>
      </c>
      <c r="F3" s="5" t="s">
        <v>8</v>
      </c>
    </row>
    <row r="4" spans="1:6" x14ac:dyDescent="0.25">
      <c r="A4" s="3" t="s">
        <v>9</v>
      </c>
      <c r="B4" s="6">
        <v>1</v>
      </c>
      <c r="C4" s="30"/>
      <c r="D4" s="30"/>
      <c r="E4" s="3" t="s">
        <v>10</v>
      </c>
      <c r="F4" s="5">
        <v>0</v>
      </c>
    </row>
    <row r="5" spans="1:6" ht="17.25" x14ac:dyDescent="0.25">
      <c r="A5" s="34" t="s">
        <v>11</v>
      </c>
      <c r="B5" s="34"/>
      <c r="C5" s="31">
        <f>SUM(F11:F69)</f>
        <v>34</v>
      </c>
      <c r="D5" s="31"/>
      <c r="E5" s="31"/>
      <c r="F5" s="23" t="s">
        <v>13</v>
      </c>
    </row>
    <row r="6" spans="1:6" ht="15.75" x14ac:dyDescent="0.25">
      <c r="A6" s="7" t="s">
        <v>12</v>
      </c>
      <c r="B6" s="24">
        <f>SUM(F11:F36)</f>
        <v>0</v>
      </c>
      <c r="C6" t="e">
        <f>B6/F7</f>
        <v>#DIV/0!</v>
      </c>
      <c r="D6" s="8" t="s">
        <v>89</v>
      </c>
      <c r="E6" s="6" t="s">
        <v>14</v>
      </c>
      <c r="F6" s="9"/>
    </row>
    <row r="7" spans="1:6" x14ac:dyDescent="0.25">
      <c r="A7" s="7" t="s">
        <v>15</v>
      </c>
      <c r="B7" s="24">
        <f>SUM(F37:F42)</f>
        <v>6</v>
      </c>
      <c r="C7" t="e">
        <f>B7/F7</f>
        <v>#DIV/0!</v>
      </c>
      <c r="D7" s="8" t="s">
        <v>89</v>
      </c>
      <c r="E7" s="6" t="s">
        <v>16</v>
      </c>
      <c r="F7" s="5"/>
    </row>
    <row r="8" spans="1:6" ht="15.75" x14ac:dyDescent="0.25">
      <c r="A8" s="7" t="s">
        <v>17</v>
      </c>
      <c r="B8" s="24">
        <f>SUM(F43:F53)</f>
        <v>0</v>
      </c>
      <c r="C8" t="e">
        <f>B8/F7</f>
        <v>#DIV/0!</v>
      </c>
      <c r="D8" s="8" t="s">
        <v>89</v>
      </c>
      <c r="E8" s="6" t="s">
        <v>18</v>
      </c>
      <c r="F8" s="9" t="e">
        <f>C5/F7</f>
        <v>#DIV/0!</v>
      </c>
    </row>
    <row r="9" spans="1:6" ht="15.75" x14ac:dyDescent="0.25">
      <c r="A9" s="7" t="s">
        <v>19</v>
      </c>
      <c r="B9" s="24">
        <f>SUM(F54:F69)</f>
        <v>28</v>
      </c>
      <c r="C9" t="e">
        <f>B9/F7</f>
        <v>#DIV/0!</v>
      </c>
      <c r="D9" s="8" t="s">
        <v>89</v>
      </c>
      <c r="E9" s="6" t="s">
        <v>20</v>
      </c>
      <c r="F9" s="9" t="e">
        <f>F8/F6</f>
        <v>#DIV/0!</v>
      </c>
    </row>
    <row r="10" spans="1:6" ht="15.75" x14ac:dyDescent="0.25">
      <c r="A10" s="33" t="s">
        <v>21</v>
      </c>
      <c r="B10" s="33"/>
      <c r="C10" s="10" t="s">
        <v>22</v>
      </c>
      <c r="D10" s="10" t="s">
        <v>23</v>
      </c>
      <c r="E10" s="10" t="s">
        <v>24</v>
      </c>
      <c r="F10" s="10" t="s">
        <v>25</v>
      </c>
    </row>
    <row r="11" spans="1:6" ht="15" customHeight="1" x14ac:dyDescent="0.25">
      <c r="A11" s="28" t="s">
        <v>90</v>
      </c>
      <c r="B11" s="28"/>
      <c r="C11" s="11">
        <v>1</v>
      </c>
      <c r="D11" s="12" t="s">
        <v>27</v>
      </c>
      <c r="E11" s="11"/>
      <c r="F11" s="13">
        <f t="shared" ref="F11:F25" si="0">C11*E11</f>
        <v>0</v>
      </c>
    </row>
    <row r="12" spans="1:6" ht="15" hidden="1" customHeight="1" x14ac:dyDescent="0.25">
      <c r="A12" s="28" t="s">
        <v>28</v>
      </c>
      <c r="B12" s="28"/>
      <c r="C12" s="11"/>
      <c r="D12" s="12" t="s">
        <v>27</v>
      </c>
      <c r="E12" s="11"/>
      <c r="F12" s="13">
        <f t="shared" si="0"/>
        <v>0</v>
      </c>
    </row>
    <row r="13" spans="1:6" ht="15" hidden="1" customHeight="1" x14ac:dyDescent="0.25">
      <c r="A13" s="28" t="s">
        <v>29</v>
      </c>
      <c r="B13" s="28"/>
      <c r="C13" s="11"/>
      <c r="D13" s="12" t="s">
        <v>27</v>
      </c>
      <c r="E13" s="11"/>
      <c r="F13" s="13">
        <f t="shared" si="0"/>
        <v>0</v>
      </c>
    </row>
    <row r="14" spans="1:6" ht="15" hidden="1" customHeight="1" x14ac:dyDescent="0.25">
      <c r="A14" s="28" t="s">
        <v>30</v>
      </c>
      <c r="B14" s="28"/>
      <c r="C14" s="11"/>
      <c r="D14" s="12" t="s">
        <v>27</v>
      </c>
      <c r="E14" s="11"/>
      <c r="F14" s="13">
        <f t="shared" si="0"/>
        <v>0</v>
      </c>
    </row>
    <row r="15" spans="1:6" ht="15" hidden="1" customHeight="1" x14ac:dyDescent="0.25">
      <c r="A15" s="28" t="s">
        <v>31</v>
      </c>
      <c r="B15" s="28"/>
      <c r="C15" s="11"/>
      <c r="D15" s="12" t="s">
        <v>32</v>
      </c>
      <c r="E15" s="11"/>
      <c r="F15" s="13">
        <f t="shared" si="0"/>
        <v>0</v>
      </c>
    </row>
    <row r="16" spans="1:6" ht="15" hidden="1" customHeight="1" x14ac:dyDescent="0.25">
      <c r="A16" s="28" t="s">
        <v>33</v>
      </c>
      <c r="B16" s="28"/>
      <c r="C16" s="11"/>
      <c r="D16" s="12" t="s">
        <v>27</v>
      </c>
      <c r="E16" s="11"/>
      <c r="F16" s="13">
        <f t="shared" si="0"/>
        <v>0</v>
      </c>
    </row>
    <row r="17" spans="1:6" ht="15" hidden="1" customHeight="1" x14ac:dyDescent="0.25">
      <c r="A17" s="28" t="s">
        <v>34</v>
      </c>
      <c r="B17" s="28"/>
      <c r="C17" s="11"/>
      <c r="D17" s="12" t="s">
        <v>27</v>
      </c>
      <c r="E17" s="11"/>
      <c r="F17" s="13">
        <f t="shared" si="0"/>
        <v>0</v>
      </c>
    </row>
    <row r="18" spans="1:6" ht="15" hidden="1" customHeight="1" x14ac:dyDescent="0.25">
      <c r="A18" s="28" t="s">
        <v>35</v>
      </c>
      <c r="B18" s="28"/>
      <c r="C18" s="11"/>
      <c r="D18" s="12" t="s">
        <v>27</v>
      </c>
      <c r="E18" s="11"/>
      <c r="F18" s="13">
        <f t="shared" si="0"/>
        <v>0</v>
      </c>
    </row>
    <row r="19" spans="1:6" ht="15" hidden="1" customHeight="1" x14ac:dyDescent="0.25">
      <c r="A19" s="28" t="s">
        <v>36</v>
      </c>
      <c r="B19" s="28"/>
      <c r="C19" s="11"/>
      <c r="D19" s="12" t="s">
        <v>27</v>
      </c>
      <c r="E19" s="11"/>
      <c r="F19" s="13">
        <f t="shared" si="0"/>
        <v>0</v>
      </c>
    </row>
    <row r="20" spans="1:6" ht="15" hidden="1" customHeight="1" x14ac:dyDescent="0.25">
      <c r="A20" s="28" t="s">
        <v>37</v>
      </c>
      <c r="B20" s="28"/>
      <c r="C20" s="11"/>
      <c r="D20" s="12" t="s">
        <v>27</v>
      </c>
      <c r="E20" s="11"/>
      <c r="F20" s="13">
        <f t="shared" si="0"/>
        <v>0</v>
      </c>
    </row>
    <row r="21" spans="1:6" ht="15" hidden="1" customHeight="1" x14ac:dyDescent="0.25">
      <c r="A21" s="28" t="s">
        <v>38</v>
      </c>
      <c r="B21" s="28"/>
      <c r="C21" s="11"/>
      <c r="D21" s="12" t="s">
        <v>27</v>
      </c>
      <c r="E21" s="11"/>
      <c r="F21" s="13">
        <f t="shared" si="0"/>
        <v>0</v>
      </c>
    </row>
    <row r="22" spans="1:6" ht="15" hidden="1" customHeight="1" x14ac:dyDescent="0.25">
      <c r="A22" s="28" t="s">
        <v>39</v>
      </c>
      <c r="B22" s="28"/>
      <c r="C22" s="11"/>
      <c r="D22" s="12" t="s">
        <v>27</v>
      </c>
      <c r="E22" s="11"/>
      <c r="F22" s="13">
        <f t="shared" si="0"/>
        <v>0</v>
      </c>
    </row>
    <row r="23" spans="1:6" ht="15" hidden="1" customHeight="1" x14ac:dyDescent="0.25">
      <c r="A23" s="28" t="s">
        <v>40</v>
      </c>
      <c r="B23" s="28"/>
      <c r="C23" s="11"/>
      <c r="D23" s="12" t="s">
        <v>27</v>
      </c>
      <c r="E23" s="11"/>
      <c r="F23" s="13">
        <f t="shared" si="0"/>
        <v>0</v>
      </c>
    </row>
    <row r="24" spans="1:6" ht="15" hidden="1" customHeight="1" x14ac:dyDescent="0.25">
      <c r="A24" s="28" t="s">
        <v>41</v>
      </c>
      <c r="B24" s="28"/>
      <c r="C24" s="11"/>
      <c r="D24" s="12" t="s">
        <v>32</v>
      </c>
      <c r="E24" s="11"/>
      <c r="F24" s="13">
        <f t="shared" si="0"/>
        <v>0</v>
      </c>
    </row>
    <row r="25" spans="1:6" ht="15" hidden="1" customHeight="1" x14ac:dyDescent="0.25">
      <c r="A25" s="28" t="s">
        <v>42</v>
      </c>
      <c r="B25" s="28"/>
      <c r="C25" s="11"/>
      <c r="D25" s="12"/>
      <c r="E25" s="11"/>
      <c r="F25" s="13">
        <f t="shared" si="0"/>
        <v>0</v>
      </c>
    </row>
    <row r="26" spans="1:6" ht="15" hidden="1" customHeight="1" x14ac:dyDescent="0.25">
      <c r="A26" s="28" t="s">
        <v>43</v>
      </c>
      <c r="B26" s="28"/>
      <c r="C26" s="11"/>
      <c r="D26" s="12" t="s">
        <v>32</v>
      </c>
      <c r="E26" s="11"/>
      <c r="F26" s="13"/>
    </row>
    <row r="27" spans="1:6" ht="15" customHeight="1" x14ac:dyDescent="0.25">
      <c r="A27" s="28" t="s">
        <v>44</v>
      </c>
      <c r="B27" s="28"/>
      <c r="C27" s="15">
        <v>0.02</v>
      </c>
      <c r="D27" s="12"/>
      <c r="E27" s="11"/>
      <c r="F27" s="13">
        <f>C27*SUM(F11:F24)</f>
        <v>0</v>
      </c>
    </row>
    <row r="28" spans="1:6" ht="15" customHeight="1" x14ac:dyDescent="0.25">
      <c r="A28" s="28" t="s">
        <v>91</v>
      </c>
      <c r="B28" s="28"/>
      <c r="C28" s="11">
        <v>1</v>
      </c>
      <c r="D28" s="12"/>
      <c r="E28" s="11"/>
      <c r="F28" s="13">
        <f t="shared" ref="F28:F35" si="1">C28*E28</f>
        <v>0</v>
      </c>
    </row>
    <row r="29" spans="1:6" ht="15" hidden="1" customHeight="1" x14ac:dyDescent="0.25">
      <c r="A29" s="28" t="s">
        <v>46</v>
      </c>
      <c r="B29" s="28"/>
      <c r="C29" s="11"/>
      <c r="D29" s="12"/>
      <c r="E29" s="11"/>
      <c r="F29" s="13">
        <f t="shared" si="1"/>
        <v>0</v>
      </c>
    </row>
    <row r="30" spans="1:6" ht="15" hidden="1" customHeight="1" x14ac:dyDescent="0.25">
      <c r="A30" s="28" t="s">
        <v>47</v>
      </c>
      <c r="B30" s="28"/>
      <c r="C30" s="11"/>
      <c r="D30" s="12"/>
      <c r="E30" s="11"/>
      <c r="F30" s="13">
        <f t="shared" si="1"/>
        <v>0</v>
      </c>
    </row>
    <row r="31" spans="1:6" ht="15" customHeight="1" x14ac:dyDescent="0.25">
      <c r="A31" s="28" t="s">
        <v>48</v>
      </c>
      <c r="B31" s="28"/>
      <c r="C31" s="11">
        <v>1</v>
      </c>
      <c r="D31" s="12" t="s">
        <v>49</v>
      </c>
      <c r="E31" s="11"/>
      <c r="F31" s="13">
        <f t="shared" si="1"/>
        <v>0</v>
      </c>
    </row>
    <row r="32" spans="1:6" ht="15" hidden="1" customHeight="1" x14ac:dyDescent="0.25">
      <c r="A32" s="28" t="s">
        <v>50</v>
      </c>
      <c r="B32" s="28"/>
      <c r="C32" s="11"/>
      <c r="D32" s="12" t="s">
        <v>27</v>
      </c>
      <c r="E32" s="11"/>
      <c r="F32" s="13">
        <f t="shared" si="1"/>
        <v>0</v>
      </c>
    </row>
    <row r="33" spans="1:6" ht="15" customHeight="1" x14ac:dyDescent="0.25">
      <c r="A33" s="28" t="s">
        <v>92</v>
      </c>
      <c r="B33" s="28"/>
      <c r="C33" s="11">
        <v>1</v>
      </c>
      <c r="D33" s="12" t="s">
        <v>27</v>
      </c>
      <c r="E33" s="11"/>
      <c r="F33" s="13">
        <f t="shared" si="1"/>
        <v>0</v>
      </c>
    </row>
    <row r="34" spans="1:6" ht="15" hidden="1" customHeight="1" x14ac:dyDescent="0.25">
      <c r="A34" s="28" t="s">
        <v>93</v>
      </c>
      <c r="B34" s="28"/>
      <c r="C34" s="11"/>
      <c r="D34" s="12" t="s">
        <v>27</v>
      </c>
      <c r="E34" s="11"/>
      <c r="F34" s="13">
        <f t="shared" si="1"/>
        <v>0</v>
      </c>
    </row>
    <row r="35" spans="1:6" ht="15" customHeight="1" x14ac:dyDescent="0.25">
      <c r="A35" s="28" t="s">
        <v>94</v>
      </c>
      <c r="B35" s="28"/>
      <c r="C35" s="11">
        <v>1</v>
      </c>
      <c r="D35" s="12" t="s">
        <v>27</v>
      </c>
      <c r="E35" s="11"/>
      <c r="F35" s="13">
        <f t="shared" si="1"/>
        <v>0</v>
      </c>
    </row>
    <row r="36" spans="1:6" ht="15" customHeight="1" x14ac:dyDescent="0.25">
      <c r="A36" s="28" t="s">
        <v>52</v>
      </c>
      <c r="B36" s="28"/>
      <c r="C36" s="15">
        <v>0.08</v>
      </c>
      <c r="D36" s="12"/>
      <c r="E36" s="11"/>
      <c r="F36" s="13">
        <f>C36*F35</f>
        <v>0</v>
      </c>
    </row>
    <row r="37" spans="1:6" ht="15" customHeight="1" x14ac:dyDescent="0.25">
      <c r="A37" s="25" t="s">
        <v>95</v>
      </c>
      <c r="B37" s="25"/>
      <c r="C37" s="11">
        <v>1</v>
      </c>
      <c r="D37" s="17"/>
      <c r="E37" s="11"/>
      <c r="F37" s="13">
        <f t="shared" ref="F37:F43" si="2">C37*E37</f>
        <v>0</v>
      </c>
    </row>
    <row r="38" spans="1:6" ht="15" hidden="1" customHeight="1" x14ac:dyDescent="0.25">
      <c r="A38" s="25" t="s">
        <v>55</v>
      </c>
      <c r="B38" s="25"/>
      <c r="C38" s="16"/>
      <c r="D38" s="17"/>
      <c r="E38" s="16"/>
      <c r="F38" s="13">
        <f t="shared" si="2"/>
        <v>0</v>
      </c>
    </row>
    <row r="39" spans="1:6" ht="15" hidden="1" customHeight="1" x14ac:dyDescent="0.25">
      <c r="A39" s="25" t="s">
        <v>56</v>
      </c>
      <c r="B39" s="25"/>
      <c r="C39" s="16"/>
      <c r="D39" s="17"/>
      <c r="E39" s="16"/>
      <c r="F39" s="13">
        <f t="shared" si="2"/>
        <v>0</v>
      </c>
    </row>
    <row r="40" spans="1:6" ht="15" hidden="1" customHeight="1" x14ac:dyDescent="0.25">
      <c r="A40" s="25" t="s">
        <v>57</v>
      </c>
      <c r="B40" s="25"/>
      <c r="C40" s="16"/>
      <c r="D40" s="17"/>
      <c r="E40" s="16"/>
      <c r="F40" s="13">
        <f t="shared" si="2"/>
        <v>0</v>
      </c>
    </row>
    <row r="41" spans="1:6" ht="13.9" customHeight="1" x14ac:dyDescent="0.25">
      <c r="A41" s="25" t="s">
        <v>96</v>
      </c>
      <c r="B41" s="25"/>
      <c r="C41" s="16">
        <v>1</v>
      </c>
      <c r="D41" s="17" t="s">
        <v>32</v>
      </c>
      <c r="E41" s="16"/>
      <c r="F41" s="13">
        <f t="shared" si="2"/>
        <v>0</v>
      </c>
    </row>
    <row r="42" spans="1:6" ht="15" customHeight="1" x14ac:dyDescent="0.25">
      <c r="A42" s="25" t="s">
        <v>59</v>
      </c>
      <c r="B42" s="25"/>
      <c r="C42" s="16">
        <v>1</v>
      </c>
      <c r="D42" s="17" t="s">
        <v>32</v>
      </c>
      <c r="E42" s="16">
        <v>6</v>
      </c>
      <c r="F42" s="13">
        <f t="shared" si="2"/>
        <v>6</v>
      </c>
    </row>
    <row r="43" spans="1:6" ht="15" customHeight="1" x14ac:dyDescent="0.25">
      <c r="A43" s="27" t="s">
        <v>97</v>
      </c>
      <c r="B43" s="27"/>
      <c r="C43" s="16">
        <v>1</v>
      </c>
      <c r="D43" s="12" t="s">
        <v>49</v>
      </c>
      <c r="E43" s="18"/>
      <c r="F43" s="13">
        <f t="shared" si="2"/>
        <v>0</v>
      </c>
    </row>
    <row r="44" spans="1:6" ht="15" hidden="1" customHeight="1" x14ac:dyDescent="0.25">
      <c r="A44" s="27" t="s">
        <v>61</v>
      </c>
      <c r="B44" s="27"/>
      <c r="C44" s="16"/>
      <c r="D44" s="12" t="s">
        <v>49</v>
      </c>
      <c r="E44" s="16"/>
      <c r="F44" s="13"/>
    </row>
    <row r="45" spans="1:6" ht="15" customHeight="1" x14ac:dyDescent="0.25">
      <c r="A45" s="27" t="s">
        <v>98</v>
      </c>
      <c r="B45" s="27"/>
      <c r="C45" s="16">
        <v>1</v>
      </c>
      <c r="D45" s="12" t="s">
        <v>49</v>
      </c>
      <c r="E45" s="18"/>
      <c r="F45" s="13">
        <f t="shared" ref="F45:F69" si="3">C45*E45</f>
        <v>0</v>
      </c>
    </row>
    <row r="46" spans="1:6" ht="15" hidden="1" customHeight="1" x14ac:dyDescent="0.25">
      <c r="A46" s="27" t="s">
        <v>63</v>
      </c>
      <c r="B46" s="27"/>
      <c r="C46" s="16"/>
      <c r="D46" s="12" t="s">
        <v>49</v>
      </c>
      <c r="E46" s="16"/>
      <c r="F46" s="13">
        <f t="shared" si="3"/>
        <v>0</v>
      </c>
    </row>
    <row r="47" spans="1:6" ht="15" hidden="1" customHeight="1" x14ac:dyDescent="0.25">
      <c r="A47" s="27" t="s">
        <v>64</v>
      </c>
      <c r="B47" s="27"/>
      <c r="C47" s="16"/>
      <c r="D47" s="12" t="s">
        <v>49</v>
      </c>
      <c r="E47" s="16"/>
      <c r="F47" s="13">
        <f t="shared" si="3"/>
        <v>0</v>
      </c>
    </row>
    <row r="48" spans="1:6" ht="15" customHeight="1" x14ac:dyDescent="0.25">
      <c r="A48" s="27" t="s">
        <v>99</v>
      </c>
      <c r="B48" s="27"/>
      <c r="C48" s="16">
        <v>1</v>
      </c>
      <c r="D48" s="12" t="s">
        <v>49</v>
      </c>
      <c r="E48" s="18"/>
      <c r="F48" s="13">
        <f t="shared" si="3"/>
        <v>0</v>
      </c>
    </row>
    <row r="49" spans="1:6" ht="15" hidden="1" customHeight="1" x14ac:dyDescent="0.25">
      <c r="A49" s="27" t="s">
        <v>66</v>
      </c>
      <c r="B49" s="27"/>
      <c r="C49" s="16"/>
      <c r="D49" s="12" t="s">
        <v>27</v>
      </c>
      <c r="E49" s="16"/>
      <c r="F49" s="13">
        <f t="shared" si="3"/>
        <v>0</v>
      </c>
    </row>
    <row r="50" spans="1:6" ht="15" customHeight="1" x14ac:dyDescent="0.25">
      <c r="A50" s="27" t="s">
        <v>100</v>
      </c>
      <c r="B50" s="27"/>
      <c r="C50" s="16">
        <v>1</v>
      </c>
      <c r="D50" s="12" t="s">
        <v>49</v>
      </c>
      <c r="E50" s="18"/>
      <c r="F50" s="13">
        <f t="shared" si="3"/>
        <v>0</v>
      </c>
    </row>
    <row r="51" spans="1:6" ht="15" hidden="1" customHeight="1" x14ac:dyDescent="0.25">
      <c r="A51" s="27" t="s">
        <v>68</v>
      </c>
      <c r="B51" s="27"/>
      <c r="C51" s="16"/>
      <c r="D51" s="12" t="s">
        <v>32</v>
      </c>
      <c r="E51" s="16"/>
      <c r="F51" s="13">
        <f t="shared" si="3"/>
        <v>0</v>
      </c>
    </row>
    <row r="52" spans="1:6" ht="15" hidden="1" customHeight="1" x14ac:dyDescent="0.25">
      <c r="A52" s="27" t="s">
        <v>69</v>
      </c>
      <c r="B52" s="27"/>
      <c r="C52" s="16"/>
      <c r="D52" s="12" t="s">
        <v>32</v>
      </c>
      <c r="E52" s="11"/>
      <c r="F52" s="13">
        <f t="shared" si="3"/>
        <v>0</v>
      </c>
    </row>
    <row r="53" spans="1:6" ht="15" hidden="1" customHeight="1" x14ac:dyDescent="0.25">
      <c r="A53" s="27" t="s">
        <v>70</v>
      </c>
      <c r="B53" s="27"/>
      <c r="C53" s="16"/>
      <c r="D53" s="12" t="s">
        <v>49</v>
      </c>
      <c r="E53" s="11"/>
      <c r="F53" s="13">
        <f t="shared" si="3"/>
        <v>0</v>
      </c>
    </row>
    <row r="54" spans="1:6" ht="15" customHeight="1" x14ac:dyDescent="0.25">
      <c r="A54" s="27" t="s">
        <v>71</v>
      </c>
      <c r="B54" s="27"/>
      <c r="C54" s="19">
        <v>1</v>
      </c>
      <c r="D54" s="12"/>
      <c r="E54" s="16"/>
      <c r="F54" s="13">
        <f t="shared" si="3"/>
        <v>0</v>
      </c>
    </row>
    <row r="55" spans="1:6" ht="15" hidden="1" customHeight="1" x14ac:dyDescent="0.25">
      <c r="A55" s="27" t="s">
        <v>101</v>
      </c>
      <c r="B55" s="27"/>
      <c r="C55" s="19"/>
      <c r="D55" s="12"/>
      <c r="E55" s="16"/>
      <c r="F55" s="13">
        <f t="shared" si="3"/>
        <v>0</v>
      </c>
    </row>
    <row r="56" spans="1:6" ht="15" hidden="1" customHeight="1" x14ac:dyDescent="0.25">
      <c r="A56" s="27" t="s">
        <v>102</v>
      </c>
      <c r="B56" s="27"/>
      <c r="C56" s="19"/>
      <c r="D56" s="12" t="s">
        <v>32</v>
      </c>
      <c r="E56" s="16"/>
      <c r="F56" s="13">
        <f t="shared" si="3"/>
        <v>0</v>
      </c>
    </row>
    <row r="57" spans="1:6" ht="15" hidden="1" customHeight="1" x14ac:dyDescent="0.25">
      <c r="A57" s="26" t="s">
        <v>74</v>
      </c>
      <c r="B57" s="26"/>
      <c r="C57" s="11"/>
      <c r="D57" s="20" t="s">
        <v>75</v>
      </c>
      <c r="E57" s="11">
        <v>60</v>
      </c>
      <c r="F57" s="13">
        <f t="shared" si="3"/>
        <v>0</v>
      </c>
    </row>
    <row r="58" spans="1:6" ht="15" customHeight="1" x14ac:dyDescent="0.25">
      <c r="A58" s="26" t="s">
        <v>76</v>
      </c>
      <c r="B58" s="26"/>
      <c r="C58" s="11">
        <v>1</v>
      </c>
      <c r="D58" s="20" t="s">
        <v>27</v>
      </c>
      <c r="E58" s="11"/>
      <c r="F58" s="13">
        <f t="shared" si="3"/>
        <v>0</v>
      </c>
    </row>
    <row r="59" spans="1:6" ht="15" customHeight="1" x14ac:dyDescent="0.25">
      <c r="A59" s="25" t="s">
        <v>103</v>
      </c>
      <c r="B59" s="25"/>
      <c r="C59" s="11">
        <v>1</v>
      </c>
      <c r="D59" s="20" t="s">
        <v>27</v>
      </c>
      <c r="E59" s="16"/>
      <c r="F59" s="13">
        <f t="shared" si="3"/>
        <v>0</v>
      </c>
    </row>
    <row r="60" spans="1:6" ht="15" customHeight="1" x14ac:dyDescent="0.25">
      <c r="A60" s="25" t="s">
        <v>78</v>
      </c>
      <c r="B60" s="25"/>
      <c r="C60" s="11">
        <v>1</v>
      </c>
      <c r="D60" s="20" t="s">
        <v>27</v>
      </c>
      <c r="E60" s="16"/>
      <c r="F60" s="13">
        <f t="shared" si="3"/>
        <v>0</v>
      </c>
    </row>
    <row r="61" spans="1:6" ht="15" hidden="1" customHeight="1" x14ac:dyDescent="0.25">
      <c r="A61" s="25" t="s">
        <v>79</v>
      </c>
      <c r="B61" s="25"/>
      <c r="C61" s="11"/>
      <c r="D61" s="20" t="s">
        <v>32</v>
      </c>
      <c r="E61" s="16">
        <v>22</v>
      </c>
      <c r="F61" s="13">
        <f t="shared" si="3"/>
        <v>0</v>
      </c>
    </row>
    <row r="62" spans="1:6" ht="15" hidden="1" customHeight="1" x14ac:dyDescent="0.25">
      <c r="A62" s="25" t="s">
        <v>80</v>
      </c>
      <c r="B62" s="25"/>
      <c r="C62" s="11"/>
      <c r="D62" s="20" t="s">
        <v>32</v>
      </c>
      <c r="E62" s="16">
        <v>75</v>
      </c>
      <c r="F62" s="13">
        <f t="shared" si="3"/>
        <v>0</v>
      </c>
    </row>
    <row r="63" spans="1:6" ht="15" hidden="1" customHeight="1" x14ac:dyDescent="0.25">
      <c r="A63" s="25" t="s">
        <v>81</v>
      </c>
      <c r="B63" s="25"/>
      <c r="C63" s="16"/>
      <c r="D63" s="20" t="s">
        <v>32</v>
      </c>
      <c r="E63" s="16">
        <v>20</v>
      </c>
      <c r="F63" s="13">
        <f t="shared" si="3"/>
        <v>0</v>
      </c>
    </row>
    <row r="64" spans="1:6" ht="15" customHeight="1" x14ac:dyDescent="0.25">
      <c r="A64" s="25" t="s">
        <v>82</v>
      </c>
      <c r="B64" s="25"/>
      <c r="C64" s="11">
        <v>1</v>
      </c>
      <c r="D64" s="20" t="s">
        <v>27</v>
      </c>
      <c r="E64" s="11"/>
      <c r="F64" s="13">
        <f t="shared" si="3"/>
        <v>0</v>
      </c>
    </row>
    <row r="65" spans="1:6" ht="15" hidden="1" customHeight="1" x14ac:dyDescent="0.25">
      <c r="A65" s="25" t="s">
        <v>83</v>
      </c>
      <c r="B65" s="25"/>
      <c r="C65" s="11"/>
      <c r="D65" s="20" t="s">
        <v>49</v>
      </c>
      <c r="E65" s="11"/>
      <c r="F65" s="13">
        <f t="shared" si="3"/>
        <v>0</v>
      </c>
    </row>
    <row r="66" spans="1:6" ht="15" hidden="1" customHeight="1" x14ac:dyDescent="0.25">
      <c r="A66" s="25" t="s">
        <v>84</v>
      </c>
      <c r="B66" s="25"/>
      <c r="C66" s="11"/>
      <c r="D66" s="20" t="s">
        <v>27</v>
      </c>
      <c r="E66" s="11"/>
      <c r="F66" s="13">
        <f t="shared" si="3"/>
        <v>0</v>
      </c>
    </row>
    <row r="67" spans="1:6" ht="15" hidden="1" customHeight="1" x14ac:dyDescent="0.25">
      <c r="A67" s="25" t="s">
        <v>85</v>
      </c>
      <c r="B67" s="25"/>
      <c r="C67" s="11"/>
      <c r="D67" s="20" t="s">
        <v>49</v>
      </c>
      <c r="E67" s="11"/>
      <c r="F67" s="13">
        <f t="shared" si="3"/>
        <v>0</v>
      </c>
    </row>
    <row r="68" spans="1:6" ht="15" hidden="1" customHeight="1" x14ac:dyDescent="0.25">
      <c r="A68" s="25" t="s">
        <v>86</v>
      </c>
      <c r="B68" s="25"/>
      <c r="C68" s="11"/>
      <c r="D68" s="20" t="s">
        <v>49</v>
      </c>
      <c r="E68" s="11"/>
      <c r="F68" s="13">
        <f t="shared" si="3"/>
        <v>0</v>
      </c>
    </row>
    <row r="69" spans="1:6" ht="15" customHeight="1" x14ac:dyDescent="0.25">
      <c r="A69" s="25" t="s">
        <v>87</v>
      </c>
      <c r="B69" s="25"/>
      <c r="C69" s="21">
        <v>1</v>
      </c>
      <c r="D69" s="20" t="s">
        <v>32</v>
      </c>
      <c r="E69" s="22">
        <v>28</v>
      </c>
      <c r="F69" s="13">
        <f t="shared" si="3"/>
        <v>28</v>
      </c>
    </row>
  </sheetData>
  <autoFilter ref="C10:E10"/>
  <mergeCells count="64">
    <mergeCell ref="A1:B1"/>
    <mergeCell ref="C1:D4"/>
    <mergeCell ref="A5:B5"/>
    <mergeCell ref="C5:E5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6:B66"/>
    <mergeCell ref="A67:B67"/>
    <mergeCell ref="A68:B68"/>
    <mergeCell ref="A69:B69"/>
    <mergeCell ref="A61:B61"/>
    <mergeCell ref="A62:B62"/>
    <mergeCell ref="A63:B63"/>
    <mergeCell ref="A64:B64"/>
    <mergeCell ref="A65:B65"/>
  </mergeCells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PEB-Estimates</vt:lpstr>
      <vt:lpstr>PEB-Estimates-Mezz</vt:lpstr>
      <vt:lpstr>'PEB-Estimates'!_FilterDatabase_0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Design</dc:creator>
  <dc:description/>
  <cp:lastModifiedBy>DSN1</cp:lastModifiedBy>
  <cp:revision>45</cp:revision>
  <cp:lastPrinted>2020-09-02T13:17:23Z</cp:lastPrinted>
  <dcterms:created xsi:type="dcterms:W3CDTF">2020-03-13T08:57:58Z</dcterms:created>
  <dcterms:modified xsi:type="dcterms:W3CDTF">2025-05-09T12:53:02Z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